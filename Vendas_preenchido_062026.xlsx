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MPortal\"/>
    </mc:Choice>
  </mc:AlternateContent>
  <xr:revisionPtr revIDLastSave="0" documentId="13_ncr:1_{4D9D7008-9108-4281-9983-D15550F9C6C9}" xr6:coauthVersionLast="47" xr6:coauthVersionMax="47" xr10:uidLastSave="{00000000-0000-0000-0000-000000000000}"/>
  <bookViews>
    <workbookView xWindow="-24810" yWindow="591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Sheet1!$A$1:$AL$4541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1" i="1" l="1"/>
  <c r="W4532" i="1"/>
  <c r="AK4532" i="1" s="1"/>
  <c r="W4531" i="1"/>
  <c r="AK4531" i="1" s="1"/>
  <c r="W4530" i="1"/>
  <c r="AK4530" i="1" s="1"/>
  <c r="W3744" i="1"/>
  <c r="AK4535" i="1"/>
  <c r="AL4535" i="1"/>
  <c r="AK4536" i="1"/>
  <c r="AL4536" i="1"/>
  <c r="AK4537" i="1"/>
  <c r="AL4537" i="1"/>
  <c r="AK4538" i="1"/>
  <c r="AL4538" i="1"/>
  <c r="AK4539" i="1"/>
  <c r="AL4539" i="1"/>
  <c r="AK4540" i="1"/>
  <c r="AL4540" i="1"/>
  <c r="AK4541" i="1"/>
  <c r="AL4541" i="1"/>
  <c r="W2585" i="1"/>
  <c r="X2585" i="1" s="1"/>
  <c r="W2594" i="1"/>
  <c r="W4534" i="1"/>
  <c r="X4534" i="1" s="1"/>
  <c r="W4533" i="1"/>
  <c r="AK4533" i="1" s="1"/>
  <c r="X4532" i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5" i="1"/>
  <c r="W4244" i="1"/>
  <c r="W4242" i="1"/>
  <c r="X4242" i="1" s="1"/>
  <c r="W4241" i="1"/>
  <c r="X4241" i="1" s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W359" i="1"/>
  <c r="W364" i="1"/>
  <c r="W363" i="1"/>
  <c r="W308" i="1"/>
  <c r="X308" i="1" s="1"/>
  <c r="W1882" i="1"/>
  <c r="AL1882" i="1" s="1"/>
  <c r="W1881" i="1"/>
  <c r="AL1881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W693" i="1"/>
  <c r="AK693" i="1" s="1"/>
  <c r="W645" i="1"/>
  <c r="W624" i="1"/>
  <c r="W638" i="1"/>
  <c r="W541" i="1"/>
  <c r="AL541" i="1" s="1"/>
  <c r="W539" i="1"/>
  <c r="X539" i="1" s="1"/>
  <c r="W532" i="1"/>
  <c r="W489" i="1"/>
  <c r="W445" i="1"/>
  <c r="W434" i="1"/>
  <c r="W427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K1863" i="1"/>
  <c r="AJ1863" i="1"/>
  <c r="AF1863" i="1" s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2585" i="1" l="1"/>
  <c r="AL4532" i="1"/>
  <c r="X4530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<sst xmlns="http://schemas.openxmlformats.org/spreadsheetml/2006/main" count="59195" uniqueCount="3499">
  <si>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</si>
  <si>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</si>
  <si>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</si>
  <si>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</si>
  <si>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</si>
  <si>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</si>
  <si>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</si>
  <si>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</si>
  <si>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</si>
  <si>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</si>
  <si>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</si>
  <si>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</si>
  <si>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</si>
  <si>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</si>
  <si>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</si>
  <si>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</si>
  <si>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</si>
  <si>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</si>
  <si>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</si>
  <si>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</si>
  <si>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</si>
  <si>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</si>
  <si>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</si>
  <si>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</si>
  <si>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</si>
  <si>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</si>
  <si>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</si>
  <si>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</si>
  <si>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</si>
  <si>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</si>
  <si>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</si>
  <si>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</si>
  <si>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</si>
  <si>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</si>
  <si>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</si>
  <si>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</si>
  <si>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</si>
  <si>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</si>
  <si>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</si>
  <si>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</si>
  <si>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</si>
  <si>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</si>
  <si>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</si>
  <si>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</si>
  <si>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</si>
  <si>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</si>
  <si>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</si>
  <si>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</si>
  <si>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</si>
  <si>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</si>
  <si>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</si>
  <si>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</si>
  <si>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</si>
  <si>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</si>
  <si>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</si>
  <si>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</si>
  <si>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</si>
  <si>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</si>
  <si>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</si>
  <si>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</si>
  <si>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</si>
  <si>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</si>
  <si>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</si>
  <si>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</si>
  <si>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</si>
  <si>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</si>
  <si>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</si>
  <si>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</si>
  <si>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</si>
  <si>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</si>
  <si>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</si>
  <si>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</si>
  <si>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</si>
  <si>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</si>
  <si>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</si>
  <si>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</si>
  <si>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</si>
  <si>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</si>
  <si>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</si>
  <si>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</si>
  <si>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</si>
  <si>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</si>
  <si>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</si>
  <si>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</si>
  <si>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</si>
  <si>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</si>
  <si>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</si>
  <si>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</si>
  <si>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</si>
  <si>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</si>
  <si>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</si>
  <si>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</si>
  <si>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</si>
  <si>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</si>
  <si>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</si>
  <si>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</si>
  <si>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</si>
  <si>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</si>
  <si>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</si>
  <si>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</si>
  <si>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</si>
  <si>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</si>
  <si>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</si>
  <si>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</si>
  <si>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</si>
  <si>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</si>
  <si>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</si>
  <si>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</si>
  <si>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</si>
  <si>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</si>
  <si>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</si>
  <si>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</si>
  <si>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</si>
  <si>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</si>
  <si>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</si>
  <si>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</si>
  <si>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</si>
  <si>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</si>
  <si>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</si>
  <si>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</si>
  <si>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</si>
  <si>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</si>
  <si>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</si>
  <si>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</si>
  <si>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</si>
  <si>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</si>
  <si>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</si>
  <si>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</si>
  <si>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</si>
  <si>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</si>
  <si>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</si>
  <si>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</si>
  <si>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</si>
  <si>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</si>
  <si>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</si>
  <si>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</si>
  <si>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</si>
  <si>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</si>
  <si>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</si>
  <si>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</si>
  <si>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</si>
  <si>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</si>
  <si>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</si>
  <si>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</si>
  <si>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</si>
  <si>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</si>
  <si>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</si>
  <si>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</si>
  <si>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</si>
  <si>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</si>
  <si>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</si>
  <si>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</si>
  <si>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</si>
  <si>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</si>
  <si>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</si>
  <si>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</si>
  <si>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</si>
  <si>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</si>
  <si>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</si>
  <si>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</si>
  <si>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</si>
  <si>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</si>
  <si>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</si>
  <si>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</si>
  <si>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</si>
  <si>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</si>
  <si>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</si>
  <si>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</si>
  <si>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</si>
  <si>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</si>
  <si>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</si>
  <si>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</si>
  <si>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</si>
  <si>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</si>
  <si>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</si>
  <si>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</si>
  <si>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</si>
  <si>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</si>
  <si>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</si>
  <si>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</si>
  <si>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</si>
  <si>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</si>
  <si>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</si>
  <si>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</si>
  <si>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</si>
  <si>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</si>
  <si>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</si>
  <si>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</si>
  <si>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</si>
  <si>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</si>
  <si>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</si>
  <si>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</si>
  <si>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</si>
  <si>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</si>
  <si>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</si>
  <si>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</si>
  <si>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</si>
  <si>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</si>
  <si>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</si>
  <si>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</si>
  <si>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</si>
  <si>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</si>
  <si>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</si>
  <si>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</si>
  <si>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</si>
  <si>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</si>
  <si>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</si>
  <si>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</si>
  <si>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</si>
  <si>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</si>
  <si>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</si>
  <si>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</si>
  <si>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</si>
  <si>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</si>
  <si>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</si>
  <si>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</si>
  <si>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</si>
  <si>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</si>
  <si>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</si>
  <si>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</si>
  <si>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</si>
  <si>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</si>
  <si>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</si>
  <si>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</si>
  <si>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</si>
  <si>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</si>
  <si>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</si>
  <si>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</si>
  <si>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</si>
  <si>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</si>
  <si>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</si>
  <si>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</si>
  <si>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</si>
  <si>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</si>
  <si>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</si>
  <si>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</si>
  <si>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</si>
  <si>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</si>
  <si>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</si>
  <si>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</si>
  <si>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</si>
  <si>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</si>
  <si>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</si>
  <si>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</si>
  <si>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</si>
  <si>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</si>
  <si>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</si>
  <si>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</si>
  <si>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</si>
  <si>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</si>
  <si>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</si>
  <si>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</si>
  <si>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</si>
  <si>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</si>
  <si>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</si>
  <si>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</si>
  <si>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</si>
  <si>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</si>
  <si>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</si>
  <si>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</si>
  <si>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</si>
  <si>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</si>
  <si>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</si>
  <si>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</si>
  <si>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</si>
  <si>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</si>
  <si>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</si>
  <si>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</si>
  <si>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</si>
  <si>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</si>
  <si>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</si>
  <si>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</si>
  <si>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</si>
  <si>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</si>
  <si>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</si>
  <si>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</si>
  <si>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</si>
  <si>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</si>
  <si>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</si>
  <si>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</si>
  <si>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</si>
  <si>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</si>
  <si>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</si>
  <si>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</si>
  <si>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</si>
  <si>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</si>
  <si>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</si>
  <si>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</si>
  <si>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</si>
  <si>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</si>
  <si>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</si>
  <si>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</si>
  <si>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</si>
  <si>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</si>
  <si>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</si>
  <si>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</si>
  <si>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</si>
  <si>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</si>
  <si>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</si>
  <si>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</si>
  <si>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</si>
  <si>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</si>
  <si>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</si>
  <si>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</si>
  <si>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</si>
  <si>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</si>
  <si>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</si>
  <si>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</si>
  <si>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</si>
  <si>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</si>
  <si>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</si>
  <si>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</si>
  <si>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</si>
  <si>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</si>
  <si>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</si>
  <si>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</si>
  <si>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</si>
  <si>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</si>
  <si>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</si>
  <si>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</si>
  <si>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</si>
  <si>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</si>
  <si>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</si>
  <si>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</si>
  <si>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</si>
  <si>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</si>
  <si>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</si>
  <si>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</si>
  <si>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</si>
  <si>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</si>
  <si>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</si>
  <si>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</si>
  <si>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</si>
  <si>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</si>
  <si>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</si>
  <si>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</si>
  <si>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</si>
  <si>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</si>
  <si>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</si>
  <si>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</si>
  <si>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</si>
  <si>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</si>
  <si>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</si>
  <si>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</si>
  <si>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</si>
  <si>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</si>
  <si>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</si>
  <si>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</si>
  <si>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</si>
  <si>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</si>
  <si>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</si>
  <si>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</si>
  <si>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</si>
  <si>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</si>
  <si>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</si>
  <si>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</si>
  <si>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</si>
  <si>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</si>
  <si>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</si>
  <si>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</si>
  <si>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</si>
  <si>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</si>
  <si>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</si>
  <si>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</si>
  <si>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</si>
  <si>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</si>
  <si>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</si>
  <si>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</si>
  <si>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</si>
  <si>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</si>
  <si>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</si>
  <si>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</si>
  <si>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</si>
  <si>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</si>
  <si>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</si>
  <si>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</si>
  <si>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</si>
  <si>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</si>
  <si>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</si>
  <si>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</si>
  <si>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</si>
  <si>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</si>
  <si>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</si>
  <si>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</si>
  <si>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</si>
  <si>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</si>
  <si>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</si>
  <si>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</si>
  <si>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</si>
  <si>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</si>
  <si>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</si>
  <si>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</si>
  <si>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</si>
  <si>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</si>
  <si>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</si>
  <si>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</si>
  <si>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</si>
  <si>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</si>
  <si>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</si>
  <si>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</si>
  <si>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</si>
  <si>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</si>
  <si>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</si>
  <si>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</si>
  <si>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</si>
  <si>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</si>
  <si>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</si>
  <si>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</si>
  <si>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</si>
  <si>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</si>
  <si>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</si>
  <si>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</si>
  <si>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</si>
  <si>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</si>
  <si>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</si>
  <si>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</si>
  <si>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</si>
  <si>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</si>
  <si>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</si>
  <si>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</si>
  <si>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</si>
  <si>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</si>
  <si>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</si>
  <si>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</si>
  <si>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</si>
  <si>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</si>
  <si>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</si>
  <si>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</si>
  <si>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</si>
  <si>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</si>
  <si>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</si>
  <si>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</si>
  <si>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</si>
  <si>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</si>
  <si>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</si>
  <si>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</si>
  <si>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</si>
  <si>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</si>
  <si>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</si>
  <si>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</si>
  <si>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</si>
  <si>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</si>
  <si>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</si>
  <si>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</si>
  <si>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</si>
  <si>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</si>
  <si>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</si>
  <si>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</si>
  <si>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</si>
  <si>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</si>
  <si>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</si>
  <si>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</si>
  <si>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</si>
  <si>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</si>
  <si>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</si>
  <si>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</si>
  <si>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</si>
  <si>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</si>
  <si>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</si>
  <si>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</si>
  <si>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</si>
  <si>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</si>
  <si>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</si>
  <si>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</si>
  <si>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</si>
  <si>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</si>
  <si>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</si>
  <si>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</si>
  <si>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</si>
  <si>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</si>
  <si>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</si>
  <si>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</si>
  <si>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</si>
  <si>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</si>
  <si>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</si>
  <si>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</si>
  <si>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</si>
  <si>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</si>
  <si>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</si>
  <si>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</si>
  <si>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</si>
  <si>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</si>
  <si>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</si>
  <si>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</si>
  <si>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</si>
  <si>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</si>
  <si>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</si>
  <si>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</si>
  <si>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</si>
  <si>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</si>
  <si>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</si>
  <si>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</si>
  <si>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</si>
  <si>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</si>
  <si>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</si>
  <si>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</si>
  <si>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</si>
  <si>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</si>
  <si>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</si>
  <si>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</si>
  <si>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</si>
  <si>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</si>
  <si>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</si>
  <si>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</si>
  <si>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</si>
  <si>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</si>
  <si>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</si>
  <si>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</si>
  <si>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</si>
  <si>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</si>
  <si>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</si>
  <si>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</si>
  <si>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</si>
  <si>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</si>
  <si>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</si>
  <si>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</si>
  <si>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</si>
  <si>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</si>
  <si>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</si>
  <si>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</si>
  <si>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</si>
  <si>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</si>
  <si>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</si>
  <si>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</si>
  <si>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</si>
  <si>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</si>
  <si>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</si>
  <si>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</si>
  <si>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</si>
  <si>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</si>
  <si>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</si>
  <si>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</si>
  <si>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</si>
  <si>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</si>
  <si>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</si>
  <si>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</si>
  <si>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</si>
  <si>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</si>
  <si>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</si>
  <si>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</si>
  <si>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</si>
  <si>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</si>
  <si>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</si>
  <si>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</si>
  <si>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</si>
  <si>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</si>
  <si>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</si>
  <si>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</si>
  <si>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</si>
  <si>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</si>
  <si>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</si>
  <si>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</si>
  <si>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</si>
  <si>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</si>
  <si>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</si>
  <si>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</si>
  <si>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</si>
  <si>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</si>
  <si>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</si>
  <si>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</si>
  <si>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</si>
  <si>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</si>
  <si>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</si>
  <si>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</si>
  <si>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</si>
  <si>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</si>
  <si>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</si>
  <si>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</si>
  <si>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</si>
  <si>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</si>
  <si>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</si>
  <si>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</si>
  <si>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</si>
  <si>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</si>
  <si>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</si>
  <si>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</si>
  <si>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</si>
  <si>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</si>
  <si>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</si>
  <si>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</si>
  <si>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</si>
  <si>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</si>
  <si>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</si>
  <si>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</si>
  <si>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</si>
  <si>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</si>
  <si>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</si>
  <si>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</si>
  <si>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</si>
  <si>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</si>
  <si>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</si>
  <si>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</si>
  <si>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</si>
  <si>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</si>
  <si>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</si>
  <si>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</si>
  <si>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</si>
  <si>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</si>
  <si>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</si>
  <si>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</si>
  <si>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</si>
  <si>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</si>
  <si>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</si>
  <si>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</si>
  <si>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</si>
  <si>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</si>
  <si>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</si>
  <si>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</si>
  <si>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</si>
  <si>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</si>
  <si>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</si>
  <si>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</si>
  <si>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</si>
  <si>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</si>
  <si>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</si>
  <si>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</si>
  <si>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</si>
  <si>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</si>
  <si>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</si>
  <si>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</si>
  <si>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</si>
  <si>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</si>
  <si>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</si>
  <si>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</si>
  <si>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</si>
  <si>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</si>
  <si>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</si>
  <si>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</si>
  <si>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</si>
  <si>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</si>
  <si>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</si>
  <si>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</si>
  <si>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</si>
  <si>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</si>
  <si>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</si>
  <si>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</si>
  <si>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</si>
  <si>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</si>
  <si>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</si>
  <si>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</si>
  <si>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</si>
  <si>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</si>
  <si>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</si>
  <si>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</si>
  <si>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</si>
  <si>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</si>
  <si>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</si>
  <si>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</si>
  <si>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</si>
  <si>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</si>
  <si>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</si>
  <si>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</si>
  <si>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</si>
  <si>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</si>
  <si>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</si>
  <si>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</si>
  <si>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</si>
  <si>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</si>
  <si>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</si>
  <si>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</si>
  <si>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</si>
  <si>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</si>
  <si>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</si>
  <si>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</si>
  <si>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</si>
  <si>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</si>
  <si>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</si>
  <si>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</si>
  <si>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</si>
  <si>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</si>
  <si>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</si>
  <si>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</si>
  <si>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</si>
  <si>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</si>
  <si>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</si>
  <si>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</si>
  <si>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</si>
  <si>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</si>
  <si>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</si>
  <si>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</si>
  <si>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</si>
  <si>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</si>
  <si>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</si>
  <si>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</si>
  <si>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</si>
  <si>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</si>
  <si>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</si>
  <si>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</si>
  <si>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</si>
  <si>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</si>
  <si>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</si>
  <si>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</si>
  <si>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</si>
  <si>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</si>
  <si>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</si>
  <si>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</si>
  <si>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</si>
  <si>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</si>
  <si>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</si>
  <si>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</si>
  <si>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</si>
  <si>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</si>
  <si>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</si>
  <si>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</si>
  <si>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</si>
  <si>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</si>
  <si>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</si>
  <si>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</si>
  <si>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</si>
  <si>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</si>
  <si>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</si>
  <si>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</si>
  <si>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</si>
  <si>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</si>
  <si>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</si>
  <si>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</si>
  <si>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</si>
  <si>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</si>
  <si>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</si>
  <si>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</si>
  <si>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</si>
  <si>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</si>
  <si>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</si>
  <si>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</si>
  <si>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</si>
  <si>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</si>
  <si>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</si>
  <si>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</si>
  <si>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</si>
  <si>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</si>
  <si>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</si>
  <si>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</si>
  <si>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</si>
  <si>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</si>
  <si>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</si>
  <si>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</si>
  <si>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</si>
  <si>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</si>
  <si>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</si>
  <si>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</si>
  <si>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</si>
  <si>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</si>
  <si>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</si>
  <si>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</si>
  <si>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</si>
  <si>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</si>
  <si>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</si>
  <si>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</si>
  <si>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</si>
  <si>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</si>
  <si>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</si>
  <si>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</si>
  <si>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</si>
  <si>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</si>
  <si>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</si>
  <si>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</si>
  <si>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</si>
  <si>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</si>
  <si>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</si>
  <si>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</si>
  <si>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</si>
  <si>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</si>
  <si>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</si>
  <si>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</si>
  <si>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</si>
  <si>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</si>
  <si>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</si>
  <si>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</si>
  <si>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</si>
  <si>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</si>
  <si>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</si>
  <si>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</si>
  <si>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</si>
  <si>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</si>
  <si>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</si>
  <si>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</si>
  <si>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</si>
  <si>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</si>
  <si>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</si>
  <si>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</si>
  <si>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</si>
  <si>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</si>
  <si>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</si>
  <si>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</si>
  <si>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</si>
  <si>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</si>
  <si>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</si>
  <si>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</si>
  <si>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</si>
  <si>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</si>
  <si>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</si>
  <si>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</si>
  <si>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</si>
  <si>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</si>
  <si>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</si>
  <si>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</si>
  <si>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</si>
  <si>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</si>
  <si>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</si>
  <si>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</si>
  <si>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</si>
  <si>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</si>
  <si>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</si>
  <si>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</si>
  <si>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</si>
  <si>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</si>
  <si>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</si>
  <si>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</si>
  <si>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</si>
  <si>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</si>
  <si>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</si>
  <si>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</si>
  <si>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</si>
  <si>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</si>
  <si>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</si>
  <si>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</si>
  <si>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</si>
  <si>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</si>
  <si>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</si>
  <si>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</si>
  <si>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</si>
  <si>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</si>
  <si>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</si>
  <si>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</si>
  <si>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</si>
  <si>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</si>
  <si>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</si>
  <si>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</si>
  <si>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</si>
  <si>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</si>
  <si>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</si>
  <si>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</si>
  <si>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</si>
  <si>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</si>
  <si>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</si>
  <si>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</si>
  <si>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</si>
  <si>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</si>
  <si>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</si>
  <si>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</si>
  <si>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</si>
  <si>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</si>
  <si>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</si>
  <si>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</si>
  <si>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</si>
  <si>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</si>
  <si>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</si>
  <si>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</si>
  <si>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</si>
  <si>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</si>
  <si>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</si>
  <si>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</si>
  <si>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</si>
  <si>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</si>
  <si>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</si>
  <si>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</si>
  <si>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</si>
  <si>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</si>
  <si>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</si>
  <si>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</si>
  <si>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</si>
  <si>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</si>
  <si>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</si>
  <si>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</si>
  <si>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</si>
  <si>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</si>
  <si>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</si>
  <si>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</si>
  <si>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</si>
  <si>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</si>
  <si>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</si>
  <si>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</si>
  <si>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</si>
  <si>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</si>
  <si>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</si>
  <si>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</si>
  <si>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</si>
  <si>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</si>
  <si>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</si>
  <si>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</si>
  <si>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</si>
  <si>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</si>
  <si>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</si>
  <si>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</si>
  <si>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</si>
  <si>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</si>
  <si>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</si>
  <si>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</si>
  <si>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</si>
  <si>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</si>
  <si>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</si>
  <si>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</si>
  <si>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</si>
  <si>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</si>
  <si>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</si>
  <si>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</si>
  <si>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</si>
  <si>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</si>
  <si>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</si>
  <si>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</si>
  <si>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</si>
  <si>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</si>
  <si>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</si>
  <si>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</si>
  <si>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</si>
  <si>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</si>
  <si>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</si>
  <si>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</si>
  <si>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</si>
  <si>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</si>
  <si>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</si>
  <si>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</si>
  <si>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</si>
  <si>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</si>
  <si>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</si>
  <si>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</si>
  <si>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</si>
  <si>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</si>
  <si>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</si>
  <si>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</si>
  <si>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</si>
  <si>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</si>
  <si>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</si>
  <si>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</si>
  <si>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</si>
  <si>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</si>
  <si>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</si>
  <si>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</si>
  <si>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</si>
  <si>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</si>
  <si>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</si>
  <si>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</si>
  <si>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</si>
  <si>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</si>
  <si>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</si>
  <si>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</si>
  <si>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</si>
  <si>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</si>
  <si>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</si>
  <si>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</si>
  <si>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</si>
  <si>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</si>
  <si>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</si>
  <si>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</si>
  <si>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</si>
  <si>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</si>
  <si>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</si>
  <si>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</si>
  <si>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</si>
  <si>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</si>
  <si>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</si>
  <si>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</si>
  <si>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</si>
  <si>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</si>
  <si>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</si>
  <si>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</si>
  <si>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</si>
  <si>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</si>
  <si>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</si>
  <si>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</si>
  <si>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</si>
  <si>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</si>
  <si>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</si>
  <si>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</si>
  <si>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</si>
  <si>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</si>
  <si>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</si>
  <si>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</si>
  <si>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</si>
  <si>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</si>
  <si>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</si>
  <si>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</si>
  <si>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</si>
  <si>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</si>
  <si>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</si>
  <si>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</si>
  <si>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</si>
  <si>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</si>
  <si>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</si>
  <si>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</si>
  <si>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</si>
  <si>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</si>
  <si>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</si>
  <si>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</si>
  <si>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</si>
  <si>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</si>
  <si>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</si>
  <si>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</si>
  <si>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</si>
  <si>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</si>
  <si>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</si>
  <si>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</si>
  <si>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</si>
  <si>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</si>
  <si>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</si>
  <si>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</si>
  <si>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</si>
  <si>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</si>
  <si>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</si>
  <si>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</si>
  <si>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</si>
  <si>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</si>
  <si>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</si>
  <si>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</si>
  <si>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</si>
  <si>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</si>
  <si>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</si>
  <si>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</si>
  <si>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</si>
  <si>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</si>
  <si>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</si>
  <si>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</si>
  <si>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</si>
  <si>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</si>
  <si>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</si>
  <si>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</si>
  <si>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</si>
  <si>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</si>
  <si>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</si>
  <si>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</si>
  <si>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</si>
  <si>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</si>
  <si>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</si>
  <si>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</si>
  <si>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</si>
  <si>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</si>
  <si>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</si>
  <si>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</si>
  <si>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</si>
  <si>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</si>
  <si>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</si>
  <si>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</si>
  <si>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</si>
  <si>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</si>
  <si>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</si>
  <si>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</si>
  <si>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</si>
  <si>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</si>
  <si>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</si>
  <si>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</si>
  <si>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</si>
  <si>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</si>
  <si>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</si>
  <si>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</si>
  <si>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</si>
  <si>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</si>
  <si>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</si>
  <si>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</si>
  <si>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</si>
  <si>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</si>
  <si>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</si>
  <si>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</si>
  <si>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</si>
  <si>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</si>
  <si>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</si>
  <si>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</si>
  <si>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</si>
  <si>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</si>
  <si>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</si>
  <si>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</si>
  <si>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</si>
  <si>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</si>
  <si>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</si>
  <si>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</si>
  <si>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</si>
  <si>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</si>
  <si>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</si>
  <si>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</si>
  <si>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</si>
  <si>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</si>
  <si>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</si>
  <si>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</si>
  <si>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</si>
  <si>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</si>
  <si>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</si>
  <si>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</si>
  <si>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</si>
  <si>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</si>
  <si>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</si>
  <si>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</si>
  <si>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</si>
  <si>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</si>
  <si>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</si>
  <si>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</si>
  <si>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</si>
  <si>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</si>
  <si>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</si>
  <si>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</si>
  <si>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</si>
  <si>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</si>
  <si>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</si>
  <si>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</si>
  <si>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</si>
  <si>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</si>
  <si>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</si>
  <si>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</si>
  <si>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</si>
  <si>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</si>
  <si>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</si>
  <si>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</si>
  <si>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</si>
  <si>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</si>
  <si>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</si>
  <si>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</si>
  <si>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</si>
  <si>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</si>
  <si>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</si>
  <si>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</si>
  <si>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</si>
  <si>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</si>
  <si>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</si>
  <si>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</si>
  <si>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</si>
  <si>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</si>
  <si>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</si>
  <si>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</si>
  <si>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</si>
  <si>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</si>
  <si>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</si>
  <si>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</si>
  <si>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</si>
  <si>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</si>
  <si>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</si>
  <si>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</si>
  <si>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</si>
  <si>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</si>
  <si>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</si>
  <si>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</si>
  <si>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</si>
  <si>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</si>
  <si>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</si>
  <si>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</si>
  <si>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</si>
  <si>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</si>
  <si>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</si>
  <si>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</si>
  <si>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</si>
  <si>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</si>
  <si>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</si>
  <si>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</si>
  <si>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</si>
  <si>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</si>
  <si>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</si>
  <si>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</si>
  <si>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</si>
  <si>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</si>
  <si>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</si>
  <si>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</si>
  <si>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</si>
  <si>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</si>
  <si>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</si>
  <si>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</si>
  <si>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</si>
  <si>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</si>
  <si>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</si>
  <si>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</si>
  <si>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</si>
  <si>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</si>
  <si>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</si>
  <si>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</si>
  <si>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</si>
  <si>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</si>
  <si>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</si>
  <si>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</si>
  <si>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</si>
  <si>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</si>
  <si>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</si>
  <si>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</si>
  <si>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</si>
  <si>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</si>
  <si>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</si>
  <si>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</si>
  <si>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</si>
  <si>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</si>
  <si>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</si>
  <si>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</si>
  <si>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</si>
  <si>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</si>
  <si>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</si>
  <si>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</si>
  <si>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</si>
  <si>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</si>
  <si>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</si>
  <si>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</si>
  <si>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</si>
  <si>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</si>
  <si>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</si>
  <si>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</si>
  <si>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</si>
  <si>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</si>
  <si>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</si>
  <si>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</si>
  <si>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</si>
  <si>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</si>
  <si>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</si>
  <si>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</si>
  <si>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</si>
  <si>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</si>
  <si>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</si>
  <si>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</si>
  <si>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</si>
  <si>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</si>
  <si>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</si>
  <si>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</si>
  <si>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</si>
  <si>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</si>
  <si>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</si>
  <si>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</si>
  <si>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</si>
  <si>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</si>
  <si>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</si>
  <si>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</si>
  <si>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</si>
  <si>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</si>
  <si>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</si>
  <si>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</si>
  <si>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</si>
  <si>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</si>
  <si>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</si>
  <si>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</si>
  <si>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</si>
  <si>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</si>
  <si>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</si>
  <si>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</si>
  <si>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</si>
  <si>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</si>
  <si>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</si>
  <si>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</si>
  <si>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</si>
  <si>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</si>
  <si>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</si>
  <si>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</si>
  <si>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</si>
  <si>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</si>
  <si>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</si>
  <si>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</si>
  <si>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</si>
  <si>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</si>
  <si>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</si>
  <si>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</si>
  <si>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</si>
  <si>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</si>
  <si>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</si>
  <si>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</si>
  <si>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</si>
  <si>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</si>
  <si>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</si>
  <si>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</si>
  <si>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</si>
  <si>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</si>
  <si>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</si>
  <si>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</si>
  <si>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</si>
  <si>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</si>
  <si>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</si>
  <si>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</si>
  <si>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</si>
  <si>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</si>
  <si>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</si>
  <si>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</si>
  <si>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</si>
  <si>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</si>
  <si>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</si>
  <si>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</si>
  <si>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</si>
  <si>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</si>
  <si>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</si>
  <si>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</si>
  <si>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</si>
  <si>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</si>
  <si>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</si>
  <si>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</si>
  <si>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</si>
  <si>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</si>
  <si>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</si>
  <si>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</si>
  <si>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</si>
  <si>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</si>
  <si>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</si>
  <si>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</si>
  <si>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</si>
  <si>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</si>
  <si>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</si>
  <si>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</si>
  <si>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</si>
  <si>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</si>
  <si>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</si>
  <si>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</si>
  <si>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</si>
  <si>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</si>
  <si>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</si>
  <si>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</si>
  <si>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</si>
  <si>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</si>
  <si>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</si>
  <si>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</si>
  <si>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</si>
  <si>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</si>
  <si>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</si>
  <si>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</si>
  <si>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</si>
  <si>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</si>
  <si>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</si>
  <si>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</si>
  <si>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</si>
  <si>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</si>
  <si>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</si>
  <si>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</si>
  <si>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</si>
  <si>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</si>
  <si>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</si>
  <si>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</si>
  <si>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</si>
  <si>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</si>
  <si>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</si>
  <si>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</si>
  <si>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</si>
  <si>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</si>
  <si>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</si>
  <si>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</si>
  <si>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</si>
  <si>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</si>
  <si>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</si>
  <si>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</si>
  <si>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</si>
  <si>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</si>
  <si>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</si>
  <si>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</si>
  <si>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</si>
  <si>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</si>
  <si>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</si>
  <si>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</si>
  <si>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</si>
  <si>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</si>
  <si>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</si>
  <si>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</si>
  <si>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</si>
  <si>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</si>
  <si>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</si>
  <si>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</si>
  <si>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</si>
  <si>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</si>
  <si>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</si>
  <si>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</si>
  <si>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</si>
  <si>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</si>
  <si>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</si>
  <si>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</si>
  <si>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</si>
  <si>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</si>
  <si>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</si>
  <si>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</si>
  <si>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</si>
  <si>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</si>
  <si>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</si>
  <si>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</si>
  <si>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</si>
  <si>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</si>
  <si>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</si>
  <si>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</si>
  <si>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</si>
  <si>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</si>
  <si>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</si>
  <si>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</si>
  <si>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</si>
  <si>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</si>
  <si>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</si>
  <si>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</si>
  <si>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</si>
  <si>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</si>
  <si>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</si>
  <si>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</si>
  <si>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</si>
  <si>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</si>
  <si>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</si>
  <si>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</si>
  <si>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</si>
  <si>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</si>
  <si>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</si>
  <si>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</si>
  <si>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</si>
  <si>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</si>
  <si>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</si>
  <si>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</si>
  <si>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</si>
  <si>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</si>
  <si>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</si>
  <si>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</si>
  <si>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</si>
  <si>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</si>
  <si>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</si>
  <si>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</si>
  <si>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</si>
  <si>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</si>
  <si>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</si>
  <si>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</si>
  <si>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</si>
  <si>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</si>
  <si>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</si>
  <si>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</si>
  <si>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</si>
  <si>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</si>
  <si>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</si>
  <si>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</si>
  <si>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</si>
  <si>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</si>
  <si>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</si>
  <si>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</si>
  <si>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</si>
  <si>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</si>
  <si>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</si>
  <si>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</si>
  <si>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</si>
  <si>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</si>
  <si>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</si>
  <si>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</si>
  <si>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</si>
  <si>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</si>
  <si>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</si>
  <si>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</si>
  <si>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</si>
  <si>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</si>
  <si>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</si>
  <si>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</si>
  <si>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</si>
  <si>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</si>
  <si>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</si>
  <si>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</si>
  <si>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</si>
  <si>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</si>
  <si>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</si>
  <si>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</si>
  <si>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</si>
  <si>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</si>
  <si>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</si>
  <si>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</si>
  <si>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</si>
  <si>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</si>
  <si>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</si>
  <si>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</si>
  <si>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</si>
  <si>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</si>
  <si>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</si>
  <si>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</si>
  <si>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</si>
  <si>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</si>
  <si>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</si>
  <si>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</si>
  <si>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</si>
  <si>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</si>
  <si>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</si>
  <si>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</si>
  <si>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</si>
  <si>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</si>
  <si>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</si>
  <si>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</si>
  <si>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</si>
  <si>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</si>
  <si>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</si>
  <si>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</si>
  <si>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</si>
  <si>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</si>
  <si>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</si>
  <si>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</si>
  <si>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</si>
  <si>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</si>
  <si>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</si>
  <si>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</si>
  <si>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</si>
  <si>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</si>
  <si>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</si>
  <si>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</si>
  <si>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</si>
  <si>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</si>
  <si>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</si>
  <si>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</si>
  <si>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</si>
  <si>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</si>
  <si>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</si>
  <si>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</si>
  <si>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</si>
  <si>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</si>
  <si>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</si>
  <si>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</si>
  <si>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</si>
  <si>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</si>
  <si>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</si>
  <si>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</si>
  <si>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</si>
  <si>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</si>
  <si>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</si>
  <si>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</si>
  <si>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</si>
  <si>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</si>
  <si>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</si>
  <si>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</si>
  <si>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</si>
  <si>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</si>
  <si>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</si>
  <si>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</si>
  <si>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</si>
  <si>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</si>
  <si>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</si>
  <si>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</si>
  <si>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</si>
  <si>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</si>
  <si>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</si>
  <si>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</si>
  <si>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</si>
  <si>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</si>
  <si>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</si>
  <si>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</si>
  <si>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</si>
  <si>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</si>
  <si>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</si>
  <si>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</si>
  <si>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</si>
  <si>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</si>
  <si>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</si>
  <si>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</si>
  <si>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</si>
  <si>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</si>
  <si>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</si>
  <si>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</si>
  <si>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</si>
  <si>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</si>
  <si>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</si>
  <si>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</si>
  <si>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</si>
  <si>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</si>
  <si>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</si>
  <si>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</si>
  <si>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</si>
  <si>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</si>
  <si>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</si>
  <si>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</si>
  <si>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</si>
  <si>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</si>
  <si>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</si>
  <si>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</si>
  <si>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</si>
  <si>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</si>
  <si>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</si>
  <si>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</si>
  <si>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</si>
  <si>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</si>
  <si>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</si>
  <si>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</si>
  <si>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</si>
  <si>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</si>
  <si>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</si>
  <si>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</si>
  <si>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</si>
  <si>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</si>
  <si>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</si>
  <si>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</si>
  <si>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</si>
  <si>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</si>
  <si>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</si>
  <si>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</si>
  <si>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</si>
  <si>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</si>
  <si>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</si>
  <si>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</si>
  <si>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</si>
  <si>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</si>
  <si>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</si>
  <si>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</si>
  <si>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</si>
  <si>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</si>
  <si>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</si>
  <si>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</si>
  <si>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</si>
  <si>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</si>
  <si>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</si>
  <si>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</si>
  <si>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</si>
  <si>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</si>
  <si>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</si>
  <si>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</si>
  <si>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</si>
  <si>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</si>
  <si>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</si>
  <si>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</si>
  <si>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</si>
  <si>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</si>
  <si>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</si>
  <si>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</si>
  <si>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</si>
  <si>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</si>
  <si>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</si>
  <si>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</si>
  <si>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</si>
  <si>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</si>
  <si>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</si>
  <si>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</si>
  <si>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</si>
  <si>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</si>
  <si>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</si>
  <si>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</si>
  <si>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</si>
  <si>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</si>
  <si>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</si>
  <si>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</si>
  <si>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</si>
  <si>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</si>
  <si>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</si>
  <si>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</si>
  <si>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</si>
  <si>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</si>
  <si>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</si>
  <si>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</si>
  <si>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</si>
  <si>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</si>
  <si>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</si>
  <si>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</si>
  <si>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</si>
  <si>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</si>
  <si>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</si>
  <si>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</si>
  <si>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</si>
  <si>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</si>
  <si>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</si>
  <si>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</si>
  <si>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</si>
  <si>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</si>
  <si>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</si>
  <si>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</si>
  <si>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</si>
  <si>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</si>
  <si>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</si>
  <si>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</si>
  <si>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</si>
  <si>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</si>
  <si>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</si>
  <si>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</si>
  <si>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</si>
  <si>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</si>
  <si>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</si>
  <si>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</si>
  <si>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</si>
  <si>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</si>
  <si>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</si>
  <si>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</si>
  <si>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</si>
  <si>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</si>
  <si>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</si>
  <si>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</si>
  <si>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</si>
  <si>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</si>
  <si>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</si>
  <si>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</si>
  <si>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</si>
  <si>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</si>
  <si>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</si>
  <si>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</si>
  <si>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</si>
  <si>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</si>
  <si>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</si>
  <si>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</si>
  <si>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</si>
  <si>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</si>
  <si>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</si>
  <si>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</si>
  <si>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</si>
  <si>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</si>
  <si>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</si>
  <si>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</si>
  <si>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</si>
  <si>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</si>
  <si>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</si>
  <si>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</si>
  <si>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</si>
  <si>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</si>
  <si>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</si>
  <si>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</si>
  <si>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</si>
  <si>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</si>
  <si>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</si>
  <si>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</si>
  <si>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</si>
  <si>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</si>
  <si>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</si>
  <si>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</si>
  <si>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</si>
  <si>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</si>
  <si>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</si>
  <si>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</si>
  <si>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</si>
  <si>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</si>
  <si>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</si>
  <si>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</si>
  <si>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</si>
  <si>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</si>
  <si>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</si>
  <si>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</si>
  <si>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</si>
  <si>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</si>
  <si>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</si>
  <si>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</si>
  <si>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</si>
  <si>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</si>
  <si>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</si>
  <si>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</si>
  <si>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</si>
  <si>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</si>
  <si>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</si>
  <si>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</si>
  <si>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</si>
  <si>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</si>
  <si>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</si>
  <si>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</si>
  <si>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</si>
  <si>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</si>
  <si>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</si>
  <si>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</si>
  <si>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</si>
  <si>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</si>
  <si>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</si>
  <si>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</si>
  <si>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</si>
  <si>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</si>
  <si>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</si>
  <si>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</si>
  <si>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</si>
  <si>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</si>
  <si>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</si>
  <si>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</si>
  <si>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</si>
  <si>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</si>
  <si>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</si>
  <si>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</si>
  <si>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</si>
  <si>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</si>
  <si>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</si>
  <si>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</si>
  <si>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</si>
  <si>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</si>
  <si>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</si>
  <si>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</si>
  <si>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</si>
  <si>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</si>
  <si>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</si>
  <si>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</si>
  <si>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</si>
  <si>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</si>
  <si>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</si>
  <si>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</si>
  <si>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</si>
  <si>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</si>
  <si>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</si>
  <si>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</si>
  <si>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</si>
  <si>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</si>
  <si>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</si>
  <si>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</si>
  <si>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</si>
  <si>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</si>
  <si>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</si>
  <si>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</si>
  <si>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</si>
  <si>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</si>
  <si>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</si>
  <si>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</si>
  <si>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</si>
  <si>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</si>
  <si>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</si>
  <si>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</si>
  <si>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</si>
  <si>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</si>
  <si>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</si>
  <si>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</si>
  <si>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</si>
  <si>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</si>
  <si>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</si>
  <si>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</si>
  <si>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</si>
  <si>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</si>
  <si>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</si>
  <si>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</si>
  <si>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</si>
  <si>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</si>
  <si>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</si>
  <si>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</si>
  <si>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</si>
  <si>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</si>
  <si>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</si>
  <si>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</si>
  <si>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</si>
  <si>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</si>
  <si>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</si>
  <si>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</si>
  <si>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</si>
  <si>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</si>
  <si>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</si>
  <si>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</si>
  <si>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</si>
  <si>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</si>
  <si>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</si>
  <si>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</si>
  <si>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</si>
  <si>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</si>
  <si>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</si>
  <si>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</si>
  <si>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</si>
  <si>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</si>
  <si>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</si>
  <si>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</si>
  <si>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</si>
  <si>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</si>
  <si>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</si>
  <si>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</si>
  <si>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</si>
  <si>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</si>
  <si>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</si>
  <si>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</si>
  <si>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</si>
  <si>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</si>
  <si>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</si>
  <si>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</si>
  <si>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</si>
  <si>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</si>
  <si>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</si>
  <si>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</si>
  <si>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</si>
  <si>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</si>
  <si>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</si>
  <si>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</si>
  <si>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</si>
  <si>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</si>
  <si>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</si>
  <si>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</si>
  <si>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</si>
  <si>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</si>
  <si>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</si>
  <si>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</si>
  <si>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</si>
  <si>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</si>
  <si>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</si>
  <si>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</si>
  <si>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</si>
  <si>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</si>
  <si>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</si>
  <si>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</si>
  <si>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</si>
  <si>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</si>
  <si>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</si>
  <si>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</si>
  <si>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</si>
  <si>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</si>
  <si>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</si>
  <si>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</si>
  <si>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</si>
  <si>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</si>
  <si>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</si>
  <si>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</si>
  <si>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</si>
  <si>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</si>
  <si>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</si>
  <si>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</si>
  <si>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</si>
  <si>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</si>
  <si>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</si>
  <si>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</si>
  <si>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</si>
  <si>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</si>
  <si>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</si>
  <si>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</si>
  <si>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</si>
  <si>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</si>
  <si>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</si>
  <si>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</si>
  <si>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</si>
  <si>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</si>
  <si>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</si>
  <si>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</si>
  <si>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</si>
  <si>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</si>
  <si>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</si>
  <si>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</si>
  <si>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</si>
  <si>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</si>
  <si>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</si>
  <si>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</si>
  <si>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</si>
  <si>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</si>
  <si>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</si>
  <si>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</si>
  <si>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</si>
  <si>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</si>
  <si>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</si>
  <si>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</si>
  <si>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</si>
  <si>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</si>
  <si>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</si>
  <si>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</si>
  <si>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</si>
  <si>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</si>
  <si>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</si>
  <si>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</si>
  <si>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</si>
  <si>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</si>
  <si>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</si>
  <si>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</si>
  <si>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</si>
  <si>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</si>
  <si>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</si>
  <si>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</si>
  <si>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</si>
  <si>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</si>
  <si>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</si>
  <si>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</si>
  <si>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</si>
  <si>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</si>
  <si>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</si>
  <si>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</si>
  <si>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</si>
  <si>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</si>
  <si>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</si>
  <si>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</si>
  <si>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</si>
  <si>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</si>
  <si>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</si>
  <si>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</si>
  <si>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</si>
  <si>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</si>
  <si>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</si>
  <si>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</si>
  <si>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</si>
  <si>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</si>
  <si>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</si>
  <si>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</si>
  <si>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</si>
  <si>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</si>
  <si>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</si>
  <si>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</si>
  <si>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</si>
  <si>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</si>
  <si>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</si>
  <si>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</si>
  <si>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</si>
  <si>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</si>
  <si>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</si>
  <si>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</si>
  <si>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</si>
  <si>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</si>
  <si>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</si>
  <si>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</si>
  <si>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</si>
  <si>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</si>
  <si>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</si>
  <si>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</si>
  <si>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</si>
  <si>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</si>
  <si>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</si>
  <si>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</si>
  <si>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</si>
  <si>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</si>
  <si>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</si>
  <si>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</si>
  <si>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</si>
  <si>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</si>
  <si>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</si>
  <si>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</si>
  <si>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</si>
  <si>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</si>
  <si>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</si>
  <si>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</si>
  <si>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</si>
  <si>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</si>
  <si>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</si>
  <si>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</si>
  <si>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</si>
  <si>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</si>
  <si>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</si>
  <si>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</si>
  <si>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</si>
  <si>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</si>
  <si>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</si>
  <si>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</si>
  <si>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</si>
  <si>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</si>
  <si>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</si>
  <si>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</si>
  <si>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</si>
  <si>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</si>
  <si>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</si>
  <si>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</si>
  <si>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</si>
  <si>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</si>
  <si>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</si>
  <si>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</si>
  <si>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</si>
  <si>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</si>
  <si>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</si>
  <si>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</si>
  <si>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</si>
  <si>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</si>
  <si>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</si>
  <si>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</si>
  <si>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</si>
  <si>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</si>
  <si>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</si>
  <si>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</si>
  <si>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</si>
  <si>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</si>
  <si>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</si>
  <si>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</si>
  <si>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</si>
  <si>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</si>
  <si>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</si>
  <si>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</si>
  <si>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</si>
  <si>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</si>
  <si>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</si>
  <si>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</si>
  <si>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</si>
  <si>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</si>
  <si>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</si>
  <si>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</si>
  <si>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</si>
  <si>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</si>
  <si>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</si>
  <si>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</si>
  <si>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</si>
  <si>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</si>
  <si>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</si>
  <si>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</si>
  <si>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</si>
  <si>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</si>
  <si>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</si>
  <si>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</si>
  <si>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</si>
  <si>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</si>
  <si>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</si>
  <si>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</si>
  <si>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</si>
  <si>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</si>
  <si>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</si>
  <si>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</si>
  <si>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</si>
  <si>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</si>
  <si>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</si>
  <si>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</si>
  <si>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</si>
  <si>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</si>
  <si>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</si>
  <si>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</si>
  <si>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</si>
  <si>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</si>
  <si>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</si>
  <si>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</si>
  <si>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</si>
  <si>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</si>
  <si>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</si>
  <si>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</si>
  <si>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</si>
  <si>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</si>
  <si>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</si>
  <si>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</si>
  <si>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</si>
  <si>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</si>
  <si>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</si>
  <si>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</si>
  <si>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</si>
  <si>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</si>
  <si>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</si>
  <si>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</si>
  <si>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</si>
  <si>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</si>
  <si>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</si>
  <si>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</si>
  <si>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</si>
  <si>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</si>
  <si>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</si>
  <si>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</si>
  <si>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</si>
  <si>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</si>
  <si>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</si>
  <si>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</si>
  <si>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</si>
  <si>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</si>
  <si>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</si>
  <si>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</si>
  <si>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</si>
  <si>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</si>
  <si>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</si>
  <si>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</si>
  <si>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</si>
  <si>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</si>
  <si>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</si>
  <si>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</si>
  <si>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</si>
  <si>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</si>
  <si>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</si>
  <si>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</si>
  <si>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</si>
  <si>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</si>
  <si>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</si>
  <si>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</si>
  <si>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</si>
  <si>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</si>
  <si>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</si>
  <si>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</si>
  <si>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</si>
  <si>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</si>
  <si>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</si>
  <si>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</si>
  <si>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</si>
  <si>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</si>
  <si>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</si>
  <si>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</si>
  <si>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</si>
  <si>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</si>
  <si>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</si>
  <si>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</si>
  <si>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</si>
  <si>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</si>
  <si>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</si>
  <si>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</si>
  <si>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</si>
  <si>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</si>
  <si>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</si>
  <si>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</si>
  <si>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</si>
  <si>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</si>
  <si>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</si>
  <si>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</si>
  <si>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</si>
  <si>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</si>
  <si>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</si>
  <si>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</si>
  <si>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</si>
  <si>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</si>
  <si>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</si>
  <si>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</si>
  <si>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</si>
  <si>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</si>
  <si>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</si>
  <si>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</si>
  <si>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</si>
  <si>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</si>
  <si>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</si>
  <si>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</si>
  <si>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</si>
  <si>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</si>
  <si>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</si>
  <si>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</si>
  <si>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</si>
  <si>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</si>
  <si>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</si>
  <si>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</si>
  <si>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</si>
  <si>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</si>
  <si>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</si>
  <si>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</si>
  <si>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</si>
  <si>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</si>
  <si>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</si>
  <si>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</si>
  <si>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</si>
  <si>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</si>
  <si>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</si>
  <si>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</si>
  <si>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</si>
  <si>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</si>
  <si>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</si>
  <si>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</si>
  <si>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</si>
  <si>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</si>
  <si>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</si>
  <si>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</si>
  <si>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</si>
  <si>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</si>
  <si>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</si>
  <si>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</si>
  <si>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</si>
  <si>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</si>
  <si>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</si>
  <si>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</si>
  <si>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</si>
  <si>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</si>
  <si>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</si>
  <si>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</si>
  <si>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</si>
  <si>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</si>
  <si>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</si>
  <si>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</si>
  <si>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</si>
  <si>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</si>
  <si>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</si>
  <si>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</si>
  <si>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</si>
  <si>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</si>
  <si>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</si>
  <si>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</si>
  <si>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</si>
  <si>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</si>
  <si>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</si>
  <si>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</si>
  <si>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</si>
  <si>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</si>
  <si>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</si>
  <si>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</si>
  <si>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</si>
  <si>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</si>
  <si>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</si>
  <si>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</si>
  <si>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</si>
  <si>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</si>
  <si>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</si>
  <si>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</si>
  <si>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</si>
  <si>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</si>
  <si>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</si>
  <si>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</si>
  <si>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</si>
  <si>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</si>
  <si>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</si>
  <si>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</si>
  <si>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</si>
  <si>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</si>
  <si>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</si>
  <si>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</si>
  <si>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</si>
  <si>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</si>
  <si>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</si>
  <si>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</si>
  <si>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</si>
  <si>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</si>
  <si>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</si>
  <si>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</si>
  <si>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</si>
  <si>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</si>
  <si>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</si>
  <si>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</si>
  <si>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</si>
  <si>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</si>
  <si>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</si>
  <si>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</si>
  <si>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</si>
  <si>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</si>
  <si>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</si>
  <si>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</si>
  <si>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</si>
  <si>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</si>
  <si>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</si>
  <si>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</si>
  <si>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</si>
  <si>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</si>
  <si>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</si>
  <si>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</si>
  <si>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</si>
  <si>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</si>
  <si>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</si>
  <si>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</si>
  <si>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</si>
  <si>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</si>
  <si>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</si>
  <si>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</si>
  <si>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</si>
  <si>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</si>
  <si>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</si>
  <si>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</si>
  <si>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</si>
  <si>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</si>
  <si>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</si>
  <si>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</si>
  <si>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</si>
  <si>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</si>
  <si>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</si>
  <si>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</si>
  <si>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</si>
  <si>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</si>
  <si>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</si>
  <si>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</si>
  <si>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</si>
  <si>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</si>
  <si>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</si>
  <si>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</si>
  <si>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</si>
  <si>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</si>
  <si>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</si>
  <si>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</si>
  <si>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</si>
  <si>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</si>
  <si>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</si>
  <si>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</si>
  <si>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</si>
  <si>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</si>
  <si>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</si>
  <si>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</si>
  <si>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</si>
  <si>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</si>
  <si>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</si>
  <si>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</si>
  <si>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</si>
  <si>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</si>
  <si>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</si>
  <si>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</si>
  <si>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</si>
  <si>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</si>
  <si>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</si>
  <si>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</si>
  <si>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</si>
  <si>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</si>
  <si>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</si>
  <si>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</si>
  <si>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</si>
  <si>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</si>
  <si>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</si>
  <si>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</si>
  <si>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</si>
  <si>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</si>
  <si>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</si>
  <si>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</si>
  <si>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</si>
  <si>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</si>
  <si>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</si>
  <si>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</si>
  <si>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</si>
  <si>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</si>
  <si>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</si>
  <si>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</si>
  <si>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</si>
  <si>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</si>
  <si>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</si>
  <si>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</si>
  <si>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</si>
  <si>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</si>
  <si>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</si>
  <si>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</si>
  <si>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</si>
  <si>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</si>
  <si>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</si>
  <si>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</si>
  <si>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</si>
  <si>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</si>
  <si>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</si>
  <si>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</si>
  <si>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</si>
  <si>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</si>
  <si>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</si>
  <si>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</si>
  <si>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</si>
  <si>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</si>
  <si>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</si>
  <si>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</si>
  <si>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</si>
  <si>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</si>
  <si>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</si>
  <si>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</si>
  <si>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</si>
  <si>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</si>
  <si>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</si>
  <si>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</si>
  <si>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</si>
  <si>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</si>
  <si>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</si>
  <si>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</si>
  <si>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</si>
  <si>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</si>
  <si>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</si>
  <si>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</si>
  <si>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</si>
  <si>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</si>
  <si>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</si>
  <si>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</si>
  <si>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</si>
  <si>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</si>
  <si>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</si>
  <si>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</si>
  <si>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</si>
  <si>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</si>
  <si>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</si>
  <si>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</si>
  <si>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</si>
  <si>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</si>
  <si>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</si>
  <si>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</si>
  <si>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</si>
  <si>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</si>
  <si>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</si>
  <si>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</si>
  <si>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</si>
  <si>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</si>
  <si>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</si>
  <si>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</si>
  <si>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</si>
  <si>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</si>
  <si>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</si>
  <si>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</si>
  <si>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</si>
  <si>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</si>
  <si>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</si>
  <si>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</si>
  <si>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</si>
  <si>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</si>
  <si>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</si>
  <si>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</si>
  <si>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</si>
  <si>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</si>
  <si>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</si>
  <si>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</si>
  <si>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</si>
  <si>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</si>
  <si>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</si>
  <si>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</si>
  <si>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</si>
  <si>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</si>
  <si>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</si>
  <si>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</si>
  <si>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</si>
  <si>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</si>
  <si>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</si>
  <si>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</si>
  <si>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</si>
  <si>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</si>
  <si>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</si>
  <si>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</si>
  <si>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</si>
  <si>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</si>
  <si>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</si>
  <si>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</si>
  <si>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</si>
  <si>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</si>
  <si>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</si>
  <si>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</si>
  <si>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</si>
  <si>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</si>
  <si>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</si>
  <si>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</si>
  <si>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</si>
  <si>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</si>
  <si>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</si>
  <si>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</si>
  <si>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</si>
  <si>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</si>
  <si>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</si>
  <si>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</si>
  <si>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</si>
  <si>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</si>
  <si>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</si>
  <si>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</si>
  <si>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</si>
  <si>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</si>
  <si>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</si>
  <si>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</si>
  <si>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</si>
  <si>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</si>
  <si>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</si>
  <si>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</si>
  <si>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</si>
  <si>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</si>
  <si>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</si>
  <si>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</si>
  <si>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</si>
  <si>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</si>
  <si>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</si>
  <si>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</si>
  <si>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</si>
  <si>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</si>
  <si>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</si>
  <si>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</si>
  <si>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</si>
  <si>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</si>
  <si>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</si>
  <si>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</si>
  <si>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</si>
  <si>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</si>
  <si>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</si>
  <si>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</si>
  <si>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</si>
  <si>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</si>
  <si>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</si>
  <si>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</si>
  <si>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</si>
  <si>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</si>
  <si>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</si>
  <si>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</si>
  <si>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</si>
  <si>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</si>
  <si>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</si>
  <si>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</si>
  <si>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</si>
  <si>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</si>
  <si>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</si>
  <si>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</si>
  <si>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</si>
  <si>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</si>
  <si>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</si>
  <si>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</si>
  <si>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</si>
  <si>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</si>
  <si>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</si>
  <si>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</si>
  <si>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</si>
  <si>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</si>
  <si>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</si>
  <si>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</si>
  <si>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</si>
  <si>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</si>
  <si>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</si>
  <si>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</si>
  <si>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</si>
  <si>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</si>
  <si>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</si>
  <si>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</si>
  <si>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</si>
  <si>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</si>
  <si>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</si>
  <si>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</si>
  <si>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</si>
  <si>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</si>
  <si>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</si>
  <si>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</si>
  <si>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</si>
  <si>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</si>
  <si>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</si>
  <si>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</si>
  <si>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</si>
  <si>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</si>
  <si>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</si>
  <si>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</si>
  <si>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</si>
  <si>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</si>
  <si>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</si>
  <si>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</si>
  <si>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</si>
  <si>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</si>
  <si>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</si>
  <si>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</si>
  <si>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</si>
  <si>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</si>
  <si>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</si>
  <si>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</si>
  <si>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</si>
  <si>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</si>
  <si>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</si>
  <si>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</si>
  <si>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</si>
  <si>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</si>
  <si>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</si>
  <si>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</si>
  <si>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</si>
  <si>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</si>
  <si>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</si>
  <si>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</si>
  <si>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</si>
  <si>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</si>
  <si>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</si>
  <si>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</si>
  <si>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</si>
  <si>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</si>
  <si>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</si>
  <si>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</si>
  <si>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</si>
  <si>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</si>
  <si>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</si>
  <si>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</si>
  <si>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</si>
  <si>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</si>
  <si>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</si>
  <si>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</si>
  <si>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</si>
  <si>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</si>
  <si>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</si>
  <si>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</si>
  <si>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</si>
  <si>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</si>
  <si>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</si>
  <si>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</si>
  <si>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</si>
  <si>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</si>
  <si>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</si>
  <si>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</si>
  <si>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</si>
  <si>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</si>
  <si>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</si>
  <si>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</si>
  <si>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</si>
  <si>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</si>
  <si>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</si>
  <si>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</si>
  <si>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</si>
  <si>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</si>
  <si>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</si>
  <si>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</si>
  <si>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</si>
  <si>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</si>
  <si>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</si>
  <si>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</si>
  <si>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</si>
  <si>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</si>
  <si>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</si>
  <si>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</si>
  <si>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</si>
  <si>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</si>
  <si>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</si>
  <si>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</si>
  <si>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</si>
  <si>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</si>
  <si>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</si>
  <si>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</si>
  <si>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</si>
  <si>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</si>
  <si>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</si>
  <si>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</si>
  <si>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</si>
  <si>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</si>
  <si>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</si>
  <si>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</si>
  <si>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</si>
  <si>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</si>
  <si>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</si>
  <si>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</si>
  <si>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</si>
  <si>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</si>
  <si>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</si>
  <si>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</si>
  <si>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</si>
  <si>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</si>
  <si>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</si>
  <si>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</si>
  <si>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</si>
  <si>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</si>
  <si>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</si>
  <si>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</si>
  <si>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</si>
  <si>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</si>
  <si>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</si>
  <si>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</si>
  <si>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</si>
  <si>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</si>
  <si>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</si>
  <si>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</si>
  <si>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</si>
  <si>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</si>
  <si>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</si>
  <si>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</si>
  <si>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</si>
  <si>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</si>
  <si>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</si>
  <si>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</si>
  <si>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</si>
  <si>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</si>
  <si>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</si>
  <si>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</si>
  <si>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</si>
  <si>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</si>
  <si>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</si>
  <si>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</si>
  <si>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</si>
  <si>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</si>
  <si>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</si>
  <si>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</si>
  <si>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</si>
  <si>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</si>
  <si>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</si>
  <si>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</si>
  <si>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</si>
  <si>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</si>
  <si>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</si>
  <si>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</si>
  <si>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</si>
  <si>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</si>
  <si>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</si>
  <si>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</si>
  <si>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</si>
  <si>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</si>
  <si>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</si>
  <si>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</si>
  <si>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</si>
  <si>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</si>
  <si>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</si>
  <si>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</si>
  <si>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</si>
  <si>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</si>
  <si>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</si>
  <si>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</si>
  <si>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</si>
  <si>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</si>
  <si>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</si>
  <si>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</si>
  <si>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</si>
  <si>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</si>
  <si>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</si>
  <si>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</si>
  <si>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</si>
  <si>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</si>
  <si>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</si>
  <si>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</si>
  <si>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</si>
  <si>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</si>
  <si>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</si>
  <si>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</si>
  <si>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</si>
  <si>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</si>
  <si>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</si>
  <si>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</si>
  <si>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</si>
  <si>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</si>
  <si>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</si>
  <si>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</si>
  <si>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</si>
  <si>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</si>
  <si>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</si>
  <si>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</si>
  <si>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</si>
  <si>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</si>
  <si>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</si>
  <si>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</si>
  <si>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</si>
  <si>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</si>
  <si>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</si>
  <si>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</si>
  <si>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</si>
  <si>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</si>
  <si>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</si>
  <si>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</si>
  <si>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</si>
  <si>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</si>
  <si>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</si>
  <si>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</si>
  <si>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</si>
  <si>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</si>
  <si>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</si>
  <si>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</si>
  <si>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</si>
  <si>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</si>
  <si>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</si>
  <si>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</si>
  <si>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</si>
  <si>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</si>
  <si>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</si>
  <si>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</si>
  <si>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</si>
  <si>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</si>
  <si>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</si>
  <si>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</si>
  <si>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</si>
  <si>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</si>
  <si>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</si>
  <si>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</si>
  <si>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</si>
  <si>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</si>
  <si>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</si>
  <si>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</si>
  <si>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</si>
  <si>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</si>
  <si>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</si>
  <si>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</si>
  <si>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</si>
  <si>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</si>
  <si>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</si>
  <si>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</si>
  <si>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</si>
  <si>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</si>
  <si>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</si>
  <si>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</si>
  <si>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</si>
  <si>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</si>
  <si>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</si>
  <si>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</si>
  <si>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</si>
  <si>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</si>
  <si>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</si>
  <si>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</si>
  <si>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</si>
  <si>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</si>
  <si>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</si>
  <si>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</si>
  <si>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</si>
  <si>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</si>
  <si>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</si>
  <si>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</si>
  <si>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</si>
  <si>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</si>
  <si>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</si>
  <si>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</si>
  <si>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</si>
  <si>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</si>
  <si>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</si>
  <si>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</si>
  <si>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</si>
  <si>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</si>
  <si>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</si>
  <si>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</si>
  <si>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</si>
  <si>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</si>
  <si>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</si>
  <si>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</si>
  <si>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</si>
  <si>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</si>
  <si>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</si>
  <si>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</si>
  <si>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</si>
  <si>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</si>
  <si>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</si>
  <si>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</si>
  <si>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</si>
  <si>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</si>
  <si>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</si>
  <si>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</si>
  <si>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</si>
  <si>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</si>
  <si>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</si>
  <si>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</si>
  <si>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</si>
  <si>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</si>
  <si>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</si>
  <si>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</si>
  <si>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</si>
  <si>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</si>
  <si>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</si>
  <si>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</si>
  <si>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</si>
  <si>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</si>
  <si>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</si>
  <si>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</si>
  <si>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</si>
  <si>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</si>
  <si>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</si>
  <si>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</si>
  <si>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</si>
  <si>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</si>
  <si>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</si>
  <si>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</si>
  <si>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</si>
  <si>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</si>
  <si>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</si>
  <si>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</si>
  <si>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</si>
  <si>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</si>
  <si>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</si>
  <si>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</si>
  <si>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</si>
  <si>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</si>
  <si>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</si>
  <si>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</si>
  <si>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</si>
  <si>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</si>
  <si>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</si>
  <si>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</si>
  <si>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</si>
  <si>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</si>
  <si>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</si>
  <si>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</si>
  <si>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</si>
  <si>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</si>
  <si>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</si>
  <si>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</si>
  <si>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</si>
  <si>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</si>
  <si>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</si>
  <si>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</si>
  <si>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</si>
  <si>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</si>
  <si>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</si>
  <si>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</si>
  <si>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</si>
  <si>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</si>
  <si>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</si>
  <si>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</si>
  <si>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</si>
  <si>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</si>
  <si>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</si>
  <si>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</si>
  <si>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</si>
  <si>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</si>
  <si>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</si>
  <si>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</si>
  <si>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</si>
  <si>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</si>
  <si>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</si>
  <si>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</si>
  <si>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</si>
  <si>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</si>
  <si>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</si>
  <si>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</si>
  <si>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</si>
  <si>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</si>
  <si>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</si>
  <si>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</si>
  <si>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</si>
  <si>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</si>
  <si>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</si>
  <si>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</si>
  <si>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</si>
  <si>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</si>
  <si>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</si>
  <si>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</si>
  <si>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</si>
  <si>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</si>
  <si>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</si>
  <si>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</si>
  <si>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</si>
  <si>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</si>
  <si>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</si>
  <si>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</si>
  <si>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</si>
  <si>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</si>
  <si>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</si>
  <si>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</si>
  <si>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</si>
  <si>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</si>
  <si>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</si>
  <si>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</si>
  <si>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</si>
  <si>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</si>
  <si>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</si>
  <si>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</si>
  <si>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</si>
  <si>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</si>
  <si>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</si>
  <si>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</si>
  <si>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</si>
  <si>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</si>
  <si>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</si>
  <si>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</si>
  <si>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</si>
  <si>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</si>
  <si>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</si>
  <si>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</si>
  <si>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</si>
  <si>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</si>
  <si>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</si>
  <si>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</si>
  <si>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</si>
  <si>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</si>
  <si>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</si>
  <si>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</si>
  <si>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</si>
  <si>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</si>
  <si>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</si>
  <si>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</si>
  <si>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</si>
  <si>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</si>
  <si>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</si>
  <si>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</si>
  <si>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</si>
  <si>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</si>
  <si>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</si>
  <si>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</si>
  <si>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</si>
  <si>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</si>
  <si>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</si>
  <si>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</si>
  <si>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</si>
  <si>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</si>
  <si>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</si>
  <si>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</si>
  <si>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</si>
  <si>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</si>
  <si>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</si>
  <si>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</si>
  <si>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</si>
  <si>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</si>
  <si>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</si>
  <si>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</si>
  <si>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</si>
  <si>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</si>
  <si>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</si>
  <si>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</si>
  <si>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</si>
  <si>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</si>
  <si>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</si>
  <si>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</si>
  <si>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</si>
  <si>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</si>
  <si>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</si>
  <si>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</si>
  <si>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</si>
  <si>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</si>
  <si>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</si>
  <si>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</si>
  <si>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</si>
  <si>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</si>
  <si>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</si>
  <si>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</si>
  <si>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</si>
  <si>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</si>
  <si>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</si>
  <si>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</si>
  <si>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</si>
  <si>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</si>
  <si>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</si>
  <si>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</si>
  <si>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</si>
  <si>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</si>
  <si>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</si>
  <si>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</si>
  <si>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</si>
  <si>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</si>
  <si>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</si>
  <si>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</si>
  <si>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</si>
  <si>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</si>
  <si>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</si>
  <si>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</si>
  <si>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</si>
  <si>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</si>
  <si>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</si>
  <si>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</si>
  <si>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</si>
  <si>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</si>
  <si>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</si>
  <si>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</si>
  <si>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</si>
  <si>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</si>
  <si>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</si>
  <si>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</si>
  <si>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</si>
  <si>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</si>
  <si>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</si>
  <si>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</si>
  <si>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</si>
  <si>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</si>
  <si>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</si>
  <si>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</si>
  <si>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</si>
  <si>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</si>
  <si>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</si>
  <si>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</si>
  <si>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</si>
  <si>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</si>
  <si>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</si>
  <si>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</si>
  <si>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</si>
  <si>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</si>
  <si>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</si>
  <si>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</si>
  <si>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</si>
  <si>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</si>
  <si>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</si>
  <si>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</si>
  <si>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</si>
  <si>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</si>
  <si>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</si>
  <si>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</si>
  <si>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</si>
  <si>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</si>
  <si>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</si>
  <si>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</si>
  <si>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</si>
  <si>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</si>
  <si>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</si>
  <si>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</si>
  <si>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</si>
  <si>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</si>
  <si>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</si>
  <si>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</si>
  <si>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</si>
  <si>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</si>
  <si>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</si>
  <si>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</si>
  <si>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</si>
  <si>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</si>
  <si>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</si>
  <si>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</si>
  <si>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</si>
  <si>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</si>
  <si>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</si>
  <si>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</si>
  <si>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</si>
  <si>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</si>
  <si>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</si>
  <si>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</si>
  <si>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</si>
  <si>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</si>
  <si>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</si>
  <si>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</si>
  <si>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</si>
  <si>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</si>
  <si>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</si>
  <si>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</si>
  <si>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</si>
  <si>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</si>
  <si>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</si>
  <si>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</si>
  <si>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</si>
  <si>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</si>
  <si>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</si>
  <si>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</si>
  <si>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</si>
  <si>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</si>
  <si>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</si>
  <si>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</si>
  <si>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</si>
  <si>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</si>
  <si>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</si>
  <si>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</si>
  <si>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</si>
  <si>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</si>
  <si>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</si>
  <si>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</si>
  <si>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</si>
  <si>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</si>
  <si>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</si>
  <si>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</si>
  <si>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</si>
  <si>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</si>
  <si>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</si>
  <si>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</si>
  <si>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</si>
  <si>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</si>
  <si>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</si>
  <si>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</si>
  <si>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</si>
  <si>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</si>
  <si>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</si>
  <si>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</si>
  <si>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</si>
  <si>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</si>
  <si>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</si>
  <si>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</si>
  <si>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</si>
  <si>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</si>
  <si>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</si>
  <si>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</si>
  <si>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</si>
  <si>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</si>
  <si>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</si>
  <si>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</si>
  <si>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</si>
  <si>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</si>
  <si>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</si>
  <si>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</si>
  <si>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</si>
  <si>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</si>
  <si>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</si>
  <si>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</si>
  <si>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</si>
  <si>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</si>
  <si>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</si>
  <si>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</si>
  <si>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</si>
  <si>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</si>
  <si>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</si>
  <si>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</si>
  <si>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</si>
  <si>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</si>
  <si>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</si>
  <si>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</si>
  <si>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</si>
  <si>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</si>
  <si>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</si>
  <si>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</si>
  <si>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</si>
  <si>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</si>
  <si>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</si>
  <si>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</si>
  <si>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</si>
  <si>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</si>
  <si>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</si>
  <si>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</si>
  <si>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</si>
  <si>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</si>
  <si>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</si>
  <si>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</si>
  <si>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</si>
  <si>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</si>
  <si>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</si>
  <si>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</si>
  <si>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</si>
  <si>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</si>
  <si>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</si>
  <si>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</si>
  <si>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</si>
  <si>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</si>
  <si>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</si>
  <si>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</si>
  <si>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</si>
  <si>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</si>
  <si>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</si>
  <si>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</si>
  <si>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</si>
  <si>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</si>
  <si>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</si>
  <si>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</si>
  <si>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</si>
  <si>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</si>
  <si>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</si>
  <si>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</si>
  <si>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</si>
  <si>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</si>
  <si>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</si>
  <si>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</si>
  <si>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</si>
  <si>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</si>
  <si>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</si>
  <si>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</si>
  <si>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</si>
  <si>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</si>
  <si>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</si>
  <si>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</si>
  <si>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</si>
  <si>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</si>
  <si>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</si>
  <si>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</si>
  <si>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</si>
  <si>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</si>
  <si>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</si>
  <si>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</si>
  <si>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</si>
  <si>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</si>
  <si>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</si>
  <si>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</si>
  <si>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</si>
  <si>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</si>
  <si>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</si>
  <si>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</si>
  <si>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</si>
  <si>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</si>
  <si>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</si>
  <si>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</si>
  <si>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</si>
  <si>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</si>
  <si>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</si>
  <si>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</si>
  <si>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</si>
  <si>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</si>
  <si>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</si>
  <si>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</si>
  <si>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</si>
  <si>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</si>
  <si>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</si>
  <si>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</si>
  <si>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</si>
  <si>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</si>
  <si>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</si>
  <si>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</si>
  <si>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</si>
  <si>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</si>
  <si>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</si>
  <si>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</si>
  <si>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</si>
  <si>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</si>
  <si>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</si>
  <si>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</si>
  <si>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</si>
  <si>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</si>
  <si>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</si>
  <si>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</si>
  <si>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</si>
  <si>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</si>
  <si>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</si>
  <si>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</si>
  <si>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</si>
  <si>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</si>
  <si>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</si>
  <si>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</si>
  <si>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</si>
  <si>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</si>
  <si>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</si>
  <si>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</si>
  <si>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</si>
  <si>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</si>
  <si>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</si>
  <si>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</si>
  <si>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</si>
  <si>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</si>
  <si>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</si>
  <si>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</si>
  <si>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</si>
  <si>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</si>
  <si>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</si>
  <si>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</si>
  <si>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</si>
  <si>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</si>
  <si>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</si>
  <si>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</si>
  <si>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</si>
  <si>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</si>
  <si>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</si>
  <si>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</si>
  <si>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</si>
  <si>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</si>
  <si>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</si>
  <si>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</si>
  <si>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</si>
  <si>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</si>
  <si>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</si>
  <si>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</si>
  <si>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</si>
  <si>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</si>
  <si>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</si>
  <si>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</si>
  <si>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</si>
  <si>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</si>
  <si>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</si>
  <si>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</si>
  <si>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</si>
  <si>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</si>
  <si>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</si>
  <si>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</si>
  <si>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</si>
  <si>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</si>
  <si>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</si>
  <si>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</si>
  <si>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</si>
  <si>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</si>
  <si>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</si>
  <si>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</si>
  <si>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</si>
  <si>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</si>
  <si>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</si>
  <si>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</si>
  <si>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</si>
  <si>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</si>
  <si>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</si>
  <si>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</si>
  <si>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</si>
  <si>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</si>
  <si>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</si>
  <si>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</si>
  <si>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</si>
  <si>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</si>
  <si>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</si>
  <si>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</si>
  <si>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</si>
  <si>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</si>
  <si>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</si>
  <si>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</si>
  <si>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</si>
  <si>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</si>
  <si>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</si>
  <si>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</si>
  <si>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</si>
  <si>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</si>
  <si>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</si>
  <si>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</si>
  <si>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</si>
  <si>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</si>
  <si>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</si>
  <si>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</si>
  <si>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</si>
  <si>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</si>
  <si>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</si>
  <si>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</si>
  <si>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</si>
  <si>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</si>
  <si>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</si>
  <si>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</si>
  <si>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</si>
  <si>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</si>
  <si>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</si>
  <si>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</si>
  <si>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</si>
  <si>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</si>
  <si>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</si>
  <si>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</si>
  <si>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</si>
  <si>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</si>
  <si>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</si>
  <si>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</si>
  <si>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</si>
  <si>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</si>
  <si>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</si>
  <si>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</si>
  <si>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</si>
  <si>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</si>
  <si>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</si>
  <si>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</si>
  <si>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</si>
  <si>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</si>
  <si>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</si>
  <si>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</si>
  <si>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</si>
  <si>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</si>
  <si>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</si>
  <si>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</si>
  <si>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</si>
  <si>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</si>
  <si>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</si>
  <si>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</si>
  <si>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</si>
  <si>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</si>
  <si>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</si>
  <si>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</si>
  <si>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</si>
  <si>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</si>
  <si>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</si>
  <si>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</si>
  <si>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</si>
  <si>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</si>
  <si>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</si>
  <si>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</si>
  <si>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</si>
  <si>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</si>
  <si>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</si>
  <si>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</si>
  <si>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</si>
  <si>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</si>
  <si>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</si>
  <si>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</si>
  <si>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</si>
  <si>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</si>
  <si>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</si>
  <si>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</si>
  <si>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</si>
  <si>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</si>
  <si>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</si>
  <si>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</si>
  <si>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</si>
  <si>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</si>
  <si>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</si>
  <si>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</si>
  <si>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</si>
  <si>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</si>
  <si>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</si>
  <si>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</si>
  <si>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</si>
  <si>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</si>
  <si>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</si>
  <si>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</si>
  <si>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</si>
  <si>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</si>
  <si>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</si>
  <si>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</si>
  <si>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</si>
  <si>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</si>
  <si>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</si>
  <si>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</si>
  <si>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</si>
  <si>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</si>
  <si>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</si>
  <si>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</si>
  <si>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</si>
  <si>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</si>
  <si>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</si>
  <si>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</si>
  <si>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</si>
  <si>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</si>
  <si>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</si>
  <si>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</si>
  <si>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</si>
  <si>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</si>
  <si>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</si>
  <si>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</si>
  <si>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</si>
  <si>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</si>
  <si>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</si>
  <si>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</si>
  <si>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</si>
  <si>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</si>
  <si>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</si>
  <si>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</si>
  <si>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</si>
  <si>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</si>
  <si>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</si>
  <si>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</si>
  <si>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</si>
  <si>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</si>
  <si>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</si>
  <si>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</si>
  <si>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</si>
  <si>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</si>
  <si>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</si>
  <si>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</si>
  <si>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</si>
  <si>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</si>
  <si>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</si>
  <si>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</si>
  <si>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</si>
  <si>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</si>
  <si>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</si>
  <si>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</si>
  <si>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</si>
  <si>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</si>
  <si>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</si>
  <si>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</si>
  <si>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</si>
  <si>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</si>
  <si>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</si>
  <si>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</si>
  <si>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</si>
  <si>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</si>
  <si>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</si>
  <si>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</si>
  <si>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</si>
  <si>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</si>
  <si>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</si>
  <si>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</si>
  <si>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</si>
  <si>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</si>
  <si>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MAQUINAD DE DESMONTAR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</si>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</sst>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541"/>
  <sheetViews>
    <sheetView tabSelected="1" topLeftCell="K1" workbookViewId="0">
      <pane ySplit="1" topLeftCell="A258" activePane="bottomLeft" state="frozen"/>
      <selection pane="bottomLeft" activeCell="M899" sqref="M89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3227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3227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3227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3227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3227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3227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3227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3227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3227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3227</v>
      </c>
      <c r="AA11" s="2" t="s">
        <v>71</v>
      </c>
      <c r="AB11" s="2" t="s">
        <v>68</v>
      </c>
      <c r="AC11" s="2" t="s">
        <v>3231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3227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3270</v>
      </c>
      <c r="M13" s="2" t="s">
        <v>80</v>
      </c>
      <c r="O13" s="2" t="s">
        <v>3198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3227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3270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3227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3270</v>
      </c>
      <c r="M15" s="2" t="s">
        <v>41</v>
      </c>
      <c r="O15" s="2" t="s">
        <v>3146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3227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3227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3227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3227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3172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3227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hidden="1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3227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hidden="1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3227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3227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3227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3227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3227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3227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3227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3227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3227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3227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3227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3227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hidden="1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hidden="1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hidden="1" x14ac:dyDescent="0.2">
      <c r="A47" s="2">
        <v>2025</v>
      </c>
      <c r="B47" s="2">
        <v>2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hidden="1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hidden="1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hidden="1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3227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hidden="1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3227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hidden="1" x14ac:dyDescent="0.2">
      <c r="A52" s="2">
        <v>2025</v>
      </c>
      <c r="B52" s="2">
        <v>2</v>
      </c>
      <c r="D52" s="2" t="s">
        <v>198</v>
      </c>
      <c r="E52" s="2" t="s">
        <v>108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3227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hidden="1" x14ac:dyDescent="0.2">
      <c r="A53" s="2">
        <v>2025</v>
      </c>
      <c r="B53" s="2">
        <v>2</v>
      </c>
      <c r="D53" s="2" t="s">
        <v>198</v>
      </c>
      <c r="E53" s="2" t="s">
        <v>108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3227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hidden="1" x14ac:dyDescent="0.2">
      <c r="A54" s="2">
        <v>2025</v>
      </c>
      <c r="B54" s="2">
        <v>2</v>
      </c>
      <c r="D54" s="2" t="s">
        <v>198</v>
      </c>
      <c r="E54" s="2" t="s">
        <v>108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3227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3270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3227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3227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3227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3227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3227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3227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3227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hidden="1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hidden="1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3114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3227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hidden="1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3114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3227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hidden="1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3114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3227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hidden="1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3114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3227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hidden="1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3114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3227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hidden="1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3114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3227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hidden="1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3114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3227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hidden="1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3114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3227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hidden="1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3114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3227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hidden="1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3114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3227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hidden="1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3114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3227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hidden="1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3114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3227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hidden="1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3114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3227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hidden="1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3114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3227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hidden="1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3114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3227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hidden="1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3114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3227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hidden="1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3114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3227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hidden="1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3114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3227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hidden="1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3114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3227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hidden="1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3114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3227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hidden="1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3114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3227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hidden="1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3114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3227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hidden="1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3114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3227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hidden="1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3114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3227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hidden="1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3114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3227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hidden="1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3114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3227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hidden="1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3114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3227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hidden="1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3114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3227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hidden="1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3114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3227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hidden="1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3114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3227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hidden="1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3114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3227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hidden="1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3114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3227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hidden="1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3114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3227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hidden="1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3114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3227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hidden="1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3114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3227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hidden="1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3114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3227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hidden="1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hidden="1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3227</v>
      </c>
      <c r="AA100" s="2" t="s">
        <v>71</v>
      </c>
      <c r="AB100" s="2" t="s">
        <v>68</v>
      </c>
      <c r="AC100" s="2" t="s">
        <v>3231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hidden="1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3227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hidden="1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3227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hidden="1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3227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hidden="1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3227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hidden="1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3227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hidden="1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3227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hidden="1" x14ac:dyDescent="0.2">
      <c r="A107" s="2">
        <v>2025</v>
      </c>
      <c r="B107" s="2">
        <v>1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3227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hidden="1" x14ac:dyDescent="0.2">
      <c r="A108" s="2">
        <v>2025</v>
      </c>
      <c r="B108" s="2">
        <v>1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3227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hidden="1" x14ac:dyDescent="0.2">
      <c r="A109" s="2">
        <v>2025</v>
      </c>
      <c r="B109" s="2">
        <v>1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3227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hidden="1" x14ac:dyDescent="0.2">
      <c r="A110" s="2">
        <v>2025</v>
      </c>
      <c r="B110" s="2">
        <v>1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3227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hidden="1" x14ac:dyDescent="0.2">
      <c r="A111" s="2">
        <v>2025</v>
      </c>
      <c r="B111" s="2">
        <v>1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3227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hidden="1" x14ac:dyDescent="0.2">
      <c r="A112" s="2">
        <v>2025</v>
      </c>
      <c r="B112" s="2">
        <v>1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3227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hidden="1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hidden="1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hidden="1" x14ac:dyDescent="0.2">
      <c r="A115" s="2">
        <v>2025</v>
      </c>
      <c r="B115" s="2">
        <v>1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3174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3173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hidden="1" x14ac:dyDescent="0.2">
      <c r="A116" s="2">
        <v>2025</v>
      </c>
      <c r="B116" s="2">
        <v>1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3227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hidden="1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hidden="1" x14ac:dyDescent="0.2">
      <c r="A118" s="2">
        <v>2025</v>
      </c>
      <c r="B118" s="2">
        <v>1</v>
      </c>
      <c r="D118" s="2" t="s">
        <v>278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hidden="1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3227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hidden="1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3227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hidden="1" x14ac:dyDescent="0.2">
      <c r="A121" s="2">
        <v>2025</v>
      </c>
      <c r="B121" s="2">
        <v>1</v>
      </c>
      <c r="C121" s="2" t="s">
        <v>3492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3231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hidden="1" x14ac:dyDescent="0.2">
      <c r="A122" s="2">
        <v>2025</v>
      </c>
      <c r="B122" s="2">
        <v>1</v>
      </c>
      <c r="D122" s="2" t="s">
        <v>198</v>
      </c>
      <c r="E122" s="2" t="s">
        <v>108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3227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hidden="1" x14ac:dyDescent="0.2">
      <c r="A123" s="2">
        <v>2025</v>
      </c>
      <c r="B123" s="2">
        <v>1</v>
      </c>
      <c r="D123" s="2" t="s">
        <v>198</v>
      </c>
      <c r="E123" s="2" t="s">
        <v>108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3227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hidden="1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3115</v>
      </c>
      <c r="J124" s="2" t="s">
        <v>3116</v>
      </c>
      <c r="L124" s="2" t="s">
        <v>339</v>
      </c>
      <c r="M124" s="2" t="s">
        <v>40</v>
      </c>
      <c r="O124" s="2" t="s">
        <v>3117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hidden="1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3115</v>
      </c>
      <c r="J125" s="2" t="s">
        <v>3116</v>
      </c>
      <c r="L125" s="2" t="s">
        <v>339</v>
      </c>
      <c r="M125" s="2" t="s">
        <v>40</v>
      </c>
      <c r="O125" s="2" t="s">
        <v>3117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hidden="1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3115</v>
      </c>
      <c r="J126" s="2" t="s">
        <v>3116</v>
      </c>
      <c r="L126" s="2" t="s">
        <v>112</v>
      </c>
      <c r="M126" s="2" t="s">
        <v>40</v>
      </c>
      <c r="O126" s="2" t="s">
        <v>3117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hidden="1" x14ac:dyDescent="0.2">
      <c r="A127" s="2">
        <v>2025</v>
      </c>
      <c r="B127" s="2">
        <v>1</v>
      </c>
      <c r="C127" s="2" t="s">
        <v>3307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3227</v>
      </c>
      <c r="AA127" s="2" t="s">
        <v>71</v>
      </c>
      <c r="AB127" s="2" t="s">
        <v>68</v>
      </c>
      <c r="AC127" s="2" t="s">
        <v>3231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hidden="1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hidden="1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3227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hidden="1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3227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hidden="1" x14ac:dyDescent="0.2">
      <c r="A131" s="2">
        <v>2025</v>
      </c>
      <c r="B131" s="2">
        <v>1</v>
      </c>
      <c r="D131" s="2" t="s">
        <v>322</v>
      </c>
      <c r="E131" s="2" t="s">
        <v>183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3227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322</v>
      </c>
      <c r="E132" s="2" t="s">
        <v>183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3227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3227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3227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3227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hidden="1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3227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3227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hidden="1" x14ac:dyDescent="0.2">
      <c r="A138" s="2">
        <v>2025</v>
      </c>
      <c r="B138" s="2">
        <v>1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3227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hidden="1" x14ac:dyDescent="0.2">
      <c r="A139" s="2">
        <v>2025</v>
      </c>
      <c r="B139" s="2">
        <v>1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3227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3227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3227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3227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278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hidden="1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3227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hidden="1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3227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hidden="1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3227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hidden="1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hidden="1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hidden="1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hidden="1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3120</v>
      </c>
      <c r="K155" s="2">
        <v>917575485</v>
      </c>
      <c r="L155" s="2" t="s">
        <v>461</v>
      </c>
      <c r="M155" s="2" t="s">
        <v>41</v>
      </c>
      <c r="O155" s="2" t="s">
        <v>3122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3227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3120</v>
      </c>
      <c r="K156" s="2">
        <v>917575485</v>
      </c>
      <c r="L156" s="2" t="s">
        <v>461</v>
      </c>
      <c r="M156" s="2" t="s">
        <v>41</v>
      </c>
      <c r="O156" s="2" t="s">
        <v>3122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3227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3380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hidden="1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3227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hidden="1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3227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hidden="1" x14ac:dyDescent="0.2">
      <c r="A160" s="2">
        <v>2025</v>
      </c>
      <c r="B160" s="2">
        <v>1</v>
      </c>
      <c r="C160" s="2" t="s">
        <v>3456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hidden="1" x14ac:dyDescent="0.2">
      <c r="A161" s="2">
        <v>2025</v>
      </c>
      <c r="B161" s="2">
        <v>1</v>
      </c>
      <c r="C161" s="2" t="s">
        <v>3456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3227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hidden="1" x14ac:dyDescent="0.2">
      <c r="A162" s="2">
        <v>2025</v>
      </c>
      <c r="B162" s="2">
        <v>1</v>
      </c>
      <c r="C162" s="2" t="s">
        <v>3456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3227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hidden="1" x14ac:dyDescent="0.2">
      <c r="A163" s="2">
        <v>2025</v>
      </c>
      <c r="B163" s="2">
        <v>1</v>
      </c>
      <c r="C163" s="2" t="s">
        <v>3456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3227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hidden="1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3227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hidden="1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3227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hidden="1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hidden="1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3380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hidden="1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3227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hidden="1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3227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hidden="1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hidden="1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hidden="1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3380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hidden="1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3227</v>
      </c>
      <c r="AA173" s="2" t="s">
        <v>46</v>
      </c>
      <c r="AB173" s="2" t="s">
        <v>60</v>
      </c>
      <c r="AC173" s="2" t="s">
        <v>3332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hidden="1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3227</v>
      </c>
      <c r="AA174" s="2" t="s">
        <v>46</v>
      </c>
      <c r="AB174" s="2" t="s">
        <v>60</v>
      </c>
      <c r="AC174" s="2" t="s">
        <v>3332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hidden="1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3123</v>
      </c>
      <c r="K175" s="2">
        <v>965864665</v>
      </c>
      <c r="L175" s="2" t="s">
        <v>344</v>
      </c>
      <c r="M175" s="2" t="s">
        <v>80</v>
      </c>
      <c r="O175" s="2" t="s">
        <v>3124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3227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hidden="1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3123</v>
      </c>
      <c r="K176" s="2">
        <v>965864665</v>
      </c>
      <c r="L176" s="2" t="s">
        <v>344</v>
      </c>
      <c r="M176" s="2" t="s">
        <v>80</v>
      </c>
      <c r="O176" s="2" t="s">
        <v>3124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3227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hidden="1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hidden="1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hidden="1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hidden="1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hidden="1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3129</v>
      </c>
      <c r="K181" s="2">
        <v>962555043</v>
      </c>
      <c r="L181" s="2" t="s">
        <v>344</v>
      </c>
      <c r="M181" s="2" t="s">
        <v>40</v>
      </c>
      <c r="O181" s="2" t="s">
        <v>3130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hidden="1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3129</v>
      </c>
      <c r="K182" s="2">
        <v>962555043</v>
      </c>
      <c r="L182" s="2" t="s">
        <v>344</v>
      </c>
      <c r="M182" s="2" t="s">
        <v>40</v>
      </c>
      <c r="O182" s="2" t="s">
        <v>3130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hidden="1" x14ac:dyDescent="0.2">
      <c r="A183" s="2">
        <v>2025</v>
      </c>
      <c r="B183" s="2">
        <v>1</v>
      </c>
      <c r="C183" s="2" t="s">
        <v>3307</v>
      </c>
      <c r="D183" s="2" t="s">
        <v>3330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hidden="1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3227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hidden="1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3227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hidden="1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3227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hidden="1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hidden="1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3227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hidden="1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3227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3227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hidden="1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3227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hidden="1" x14ac:dyDescent="0.2">
      <c r="A192" s="2">
        <v>2025</v>
      </c>
      <c r="B192" s="2">
        <v>1</v>
      </c>
      <c r="D192" s="2" t="s">
        <v>433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hidden="1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3227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hidden="1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3227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hidden="1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3176</v>
      </c>
      <c r="K195" s="2">
        <v>911577458</v>
      </c>
      <c r="L195" s="2" t="s">
        <v>177</v>
      </c>
      <c r="M195" s="2" t="s">
        <v>41</v>
      </c>
      <c r="O195" s="2" t="s">
        <v>3177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3227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hidden="1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3176</v>
      </c>
      <c r="K196" s="2">
        <v>911577458</v>
      </c>
      <c r="L196" s="2" t="s">
        <v>177</v>
      </c>
      <c r="M196" s="2" t="s">
        <v>41</v>
      </c>
      <c r="O196" s="2" t="s">
        <v>3177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3227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hidden="1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3181</v>
      </c>
      <c r="L197" s="2" t="s">
        <v>133</v>
      </c>
      <c r="M197" s="2" t="s">
        <v>40</v>
      </c>
      <c r="O197" s="2" t="s">
        <v>3182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hidden="1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hidden="1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hidden="1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hidden="1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hidden="1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3227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hidden="1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3227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hidden="1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3227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hidden="1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3227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hidden="1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3227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hidden="1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3227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hidden="1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3227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hidden="1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3227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hidden="1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hidden="1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hidden="1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3380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hidden="1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hidden="1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hidden="1" x14ac:dyDescent="0.2">
      <c r="A215" s="2">
        <v>2025</v>
      </c>
      <c r="B215" s="2">
        <v>1</v>
      </c>
      <c r="C215" s="2" t="s">
        <v>3307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hidden="1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3227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hidden="1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3227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hidden="1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3227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hidden="1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3227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hidden="1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3227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hidden="1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hidden="1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3133</v>
      </c>
      <c r="L222" s="2" t="s">
        <v>177</v>
      </c>
      <c r="M222" s="2" t="s">
        <v>41</v>
      </c>
      <c r="O222" s="2" t="s">
        <v>3132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3227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hidden="1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3133</v>
      </c>
      <c r="L223" s="2" t="s">
        <v>177</v>
      </c>
      <c r="M223" s="2" t="s">
        <v>41</v>
      </c>
      <c r="O223" s="2" t="s">
        <v>3132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3227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hidden="1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3133</v>
      </c>
      <c r="L224" s="2" t="s">
        <v>177</v>
      </c>
      <c r="M224" s="2" t="s">
        <v>41</v>
      </c>
      <c r="O224" s="2" t="s">
        <v>3132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3227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hidden="1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3227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hidden="1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3227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hidden="1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3227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hidden="1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3227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hidden="1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3134</v>
      </c>
      <c r="L229" s="2" t="s">
        <v>177</v>
      </c>
      <c r="M229" s="2" t="s">
        <v>41</v>
      </c>
      <c r="O229" s="2" t="s">
        <v>3135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3227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hidden="1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3227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hidden="1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3227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hidden="1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3227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hidden="1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hidden="1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hidden="1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hidden="1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hidden="1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hidden="1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hidden="1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3184</v>
      </c>
      <c r="J239" s="2" t="s">
        <v>3185</v>
      </c>
      <c r="L239" s="2" t="s">
        <v>201</v>
      </c>
      <c r="M239" s="2" t="s">
        <v>41</v>
      </c>
      <c r="O239" s="2" t="s">
        <v>3186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3227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hidden="1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3184</v>
      </c>
      <c r="J240" s="2" t="s">
        <v>3185</v>
      </c>
      <c r="L240" s="2" t="s">
        <v>201</v>
      </c>
      <c r="M240" s="2" t="s">
        <v>41</v>
      </c>
      <c r="O240" s="2" t="s">
        <v>3186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3227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hidden="1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3227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hidden="1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3227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hidden="1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3227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hidden="1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3191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3227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3227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hidden="1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3227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hidden="1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hidden="1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3227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hidden="1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3227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hidden="1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3227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hidden="1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3227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hidden="1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hidden="1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3227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hidden="1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3227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hidden="1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3227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hidden="1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3227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hidden="1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3227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hidden="1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hidden="1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hidden="1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3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80.154000000000025</v>
      </c>
      <c r="AL261" s="5">
        <f t="shared" si="34"/>
        <v>0.3000000000000001</v>
      </c>
    </row>
    <row r="262" spans="1:38" hidden="1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3187</v>
      </c>
      <c r="L262" s="2" t="s">
        <v>339</v>
      </c>
      <c r="M262" s="2" t="s">
        <v>40</v>
      </c>
      <c r="O262" s="2" t="s">
        <v>3188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hidden="1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3187</v>
      </c>
      <c r="L263" s="2" t="s">
        <v>339</v>
      </c>
      <c r="M263" s="2" t="s">
        <v>40</v>
      </c>
      <c r="O263" s="2" t="s">
        <v>3189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hidden="1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3227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hidden="1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3227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hidden="1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hidden="1" x14ac:dyDescent="0.2">
      <c r="A267" s="2">
        <v>2025</v>
      </c>
      <c r="B267" s="2">
        <v>1</v>
      </c>
      <c r="D267" s="2" t="s">
        <v>573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3227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hidden="1" x14ac:dyDescent="0.2">
      <c r="A268" s="2">
        <v>2025</v>
      </c>
      <c r="B268" s="2">
        <v>1</v>
      </c>
      <c r="D268" s="2" t="s">
        <v>573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3227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hidden="1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hidden="1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3227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hidden="1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3227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hidden="1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3227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hidden="1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3227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hidden="1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3227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hidden="1" x14ac:dyDescent="0.2">
      <c r="A275" s="2">
        <v>2025</v>
      </c>
      <c r="B275" s="2">
        <v>1</v>
      </c>
      <c r="D275" s="2" t="s">
        <v>582</v>
      </c>
      <c r="E275" s="2" t="s">
        <v>108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3227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hidden="1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3227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hidden="1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3227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hidden="1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3227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hidden="1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3227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hidden="1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3227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hidden="1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3227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hidden="1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3227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hidden="1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3227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hidden="1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3227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hidden="1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3227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hidden="1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3227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hidden="1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hidden="1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hidden="1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3227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3227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3227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hidden="1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3227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3227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3227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hidden="1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hidden="1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3227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hidden="1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3227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hidden="1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3227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hidden="1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3227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hidden="1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3438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hidden="1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3227</v>
      </c>
      <c r="AA302" s="2" t="s">
        <v>46</v>
      </c>
      <c r="AB302" s="2" t="s">
        <v>60</v>
      </c>
      <c r="AC302" s="2" t="s">
        <v>3332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hidden="1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3227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hidden="1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3227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hidden="1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3227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hidden="1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3227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hidden="1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2"/>
        <v>0.42557471264367813</v>
      </c>
      <c r="Z307" s="2" t="s">
        <v>3227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3.7024999999999997</v>
      </c>
      <c r="AL307" s="5">
        <f t="shared" si="41"/>
        <v>0.42557471264367813</v>
      </c>
    </row>
    <row r="308" spans="1:38" hidden="1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2"/>
        <v>0.45040740740740737</v>
      </c>
      <c r="Z308" s="2" t="s">
        <v>3227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12.161</v>
      </c>
      <c r="AL308" s="5">
        <f t="shared" si="41"/>
        <v>0.45040740740740737</v>
      </c>
    </row>
    <row r="309" spans="1:38" hidden="1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hidden="1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hidden="1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hidden="1" x14ac:dyDescent="0.2">
      <c r="A312" s="2">
        <v>2025</v>
      </c>
      <c r="B312" s="2">
        <v>1</v>
      </c>
      <c r="C312" s="2" t="s">
        <v>3456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3184</v>
      </c>
      <c r="J312" s="2" t="s">
        <v>3238</v>
      </c>
      <c r="K312" s="2">
        <v>965347433</v>
      </c>
      <c r="L312" s="2" t="s">
        <v>201</v>
      </c>
      <c r="M312" s="2" t="s">
        <v>41</v>
      </c>
      <c r="O312" s="2" t="s">
        <v>3239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3227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hidden="1" x14ac:dyDescent="0.2">
      <c r="A313" s="2">
        <v>2025</v>
      </c>
      <c r="B313" s="2">
        <v>1</v>
      </c>
      <c r="C313" s="2" t="s">
        <v>3456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3184</v>
      </c>
      <c r="J313" s="2" t="s">
        <v>3238</v>
      </c>
      <c r="K313" s="2">
        <v>965347433</v>
      </c>
      <c r="L313" s="2" t="s">
        <v>201</v>
      </c>
      <c r="M313" s="2" t="s">
        <v>41</v>
      </c>
      <c r="O313" s="2" t="s">
        <v>3239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3227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hidden="1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3227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hidden="1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3227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hidden="1" x14ac:dyDescent="0.2">
      <c r="A316" s="2">
        <v>2025</v>
      </c>
      <c r="B316" s="2">
        <v>1</v>
      </c>
      <c r="C316" s="2" t="s">
        <v>3307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3307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hidden="1" x14ac:dyDescent="0.2">
      <c r="A318" s="2">
        <v>2025</v>
      </c>
      <c r="B318" s="2">
        <v>1</v>
      </c>
      <c r="C318" s="2" t="s">
        <v>3307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hidden="1" x14ac:dyDescent="0.2">
      <c r="A319" s="2">
        <v>2025</v>
      </c>
      <c r="B319" s="2">
        <v>1</v>
      </c>
      <c r="C319" s="2" t="s">
        <v>3307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hidden="1" x14ac:dyDescent="0.2">
      <c r="A320" s="2">
        <v>2025</v>
      </c>
      <c r="B320" s="2">
        <v>1</v>
      </c>
      <c r="C320" s="2" t="s">
        <v>3307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hidden="1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hidden="1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hidden="1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hidden="1" x14ac:dyDescent="0.2">
      <c r="A324" s="2">
        <v>2025</v>
      </c>
      <c r="B324" s="2">
        <v>1</v>
      </c>
      <c r="D324" s="2" t="s">
        <v>648</v>
      </c>
      <c r="P324" s="2" t="s">
        <v>3175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3175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hidden="1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3227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hidden="1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3227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hidden="1" x14ac:dyDescent="0.2">
      <c r="A327" s="2">
        <v>2025</v>
      </c>
      <c r="B327" s="2">
        <v>1</v>
      </c>
      <c r="C327" s="2" t="s">
        <v>3456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3227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C328" s="2" t="s">
        <v>3456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3227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hidden="1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3227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hidden="1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3227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hidden="1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3227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hidden="1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M332" s="2" t="s">
        <v>40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3227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hidden="1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hidden="1" x14ac:dyDescent="0.2">
      <c r="A334" s="2">
        <v>2025</v>
      </c>
      <c r="B334" s="2">
        <v>1</v>
      </c>
      <c r="D334" s="2" t="s">
        <v>671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48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46"/>
        <v>0</v>
      </c>
      <c r="AJ334" s="2">
        <f t="shared" si="47"/>
        <v>0</v>
      </c>
      <c r="AK334" s="2">
        <f t="shared" si="49"/>
        <v>9.715799999999998</v>
      </c>
      <c r="AL334" s="5">
        <f t="shared" si="50"/>
        <v>0.649886287625418</v>
      </c>
    </row>
    <row r="335" spans="1:38" hidden="1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hidden="1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3170</v>
      </c>
      <c r="L336" s="2" t="s">
        <v>339</v>
      </c>
      <c r="M336" s="2" t="s">
        <v>40</v>
      </c>
      <c r="O336" s="2" t="s">
        <v>3171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hidden="1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3227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hidden="1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3227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hidden="1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3227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hidden="1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3227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hidden="1" x14ac:dyDescent="0.2">
      <c r="A341" s="2">
        <v>2025</v>
      </c>
      <c r="B341" s="2">
        <v>2</v>
      </c>
      <c r="C341" s="2" t="s">
        <v>3402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hidden="1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3190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hidden="1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hidden="1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hidden="1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3227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hidden="1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3227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hidden="1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3227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hidden="1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3227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hidden="1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3227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hidden="1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3227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hidden="1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3227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hidden="1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3227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hidden="1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3227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hidden="1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3227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hidden="1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3227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hidden="1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3227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hidden="1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3227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hidden="1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3227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hidden="1" x14ac:dyDescent="0.2">
      <c r="A359" s="2">
        <v>2025</v>
      </c>
      <c r="B359" s="2">
        <v>2</v>
      </c>
      <c r="C359" s="2" t="s">
        <v>3308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-614.66999999999996</v>
      </c>
    </row>
    <row r="360" spans="1:38" hidden="1" x14ac:dyDescent="0.2">
      <c r="A360" s="2">
        <v>2025</v>
      </c>
      <c r="B360" s="2">
        <v>2</v>
      </c>
      <c r="C360" s="2" t="s">
        <v>3308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hidden="1" x14ac:dyDescent="0.2">
      <c r="A361" s="2">
        <v>2025</v>
      </c>
      <c r="B361" s="2">
        <v>2</v>
      </c>
      <c r="C361" s="2" t="s">
        <v>3308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hidden="1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hidden="1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1"/>
        <v>0.26286545454545451</v>
      </c>
      <c r="Z363" s="2" t="s">
        <v>104</v>
      </c>
      <c r="AA363" s="2" t="s">
        <v>616</v>
      </c>
      <c r="AB363" s="2" t="s">
        <v>3491</v>
      </c>
      <c r="AC363" s="2" t="s">
        <v>114</v>
      </c>
      <c r="AF363" s="2">
        <f t="shared" si="46"/>
        <v>0</v>
      </c>
      <c r="AJ363" s="2">
        <f t="shared" si="47"/>
        <v>0</v>
      </c>
      <c r="AK363" s="2">
        <f t="shared" si="52"/>
        <v>1445.7599999999998</v>
      </c>
      <c r="AL363" s="5">
        <f t="shared" si="53"/>
        <v>0.26286545454545451</v>
      </c>
    </row>
    <row r="364" spans="1:38" hidden="1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1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46"/>
        <v>0</v>
      </c>
      <c r="AJ364" s="2">
        <f t="shared" si="47"/>
        <v>0</v>
      </c>
      <c r="AK364" s="2">
        <f t="shared" si="52"/>
        <v>818.07000000000016</v>
      </c>
      <c r="AL364" s="5">
        <f t="shared" si="53"/>
        <v>0.24060882352941182</v>
      </c>
    </row>
    <row r="365" spans="1:38" hidden="1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1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46"/>
        <v>0</v>
      </c>
      <c r="AJ365" s="2">
        <f t="shared" si="47"/>
        <v>0</v>
      </c>
      <c r="AK365" s="2">
        <f t="shared" si="52"/>
        <v>118.18399999999997</v>
      </c>
      <c r="AL365" s="5">
        <f t="shared" si="53"/>
        <v>0.45869978653211713</v>
      </c>
    </row>
    <row r="366" spans="1:38" hidden="1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hidden="1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1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46"/>
        <v>0</v>
      </c>
      <c r="AJ367" s="2">
        <f t="shared" si="47"/>
        <v>0</v>
      </c>
      <c r="AK367" s="2">
        <f t="shared" si="52"/>
        <v>134.48000000000002</v>
      </c>
      <c r="AL367" s="5">
        <f t="shared" si="53"/>
        <v>0.43400245272058352</v>
      </c>
    </row>
    <row r="368" spans="1:38" hidden="1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hidden="1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hidden="1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3227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hidden="1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3227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hidden="1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hidden="1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3227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hidden="1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3227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hidden="1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3227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hidden="1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3227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hidden="1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1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46"/>
        <v>0</v>
      </c>
      <c r="AJ377" s="2">
        <f t="shared" si="47"/>
        <v>0</v>
      </c>
      <c r="AK377" s="2">
        <f t="shared" si="52"/>
        <v>23.734599999999997</v>
      </c>
      <c r="AL377" s="5">
        <f t="shared" si="53"/>
        <v>0.52767007558915069</v>
      </c>
    </row>
    <row r="378" spans="1:38" hidden="1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3227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hidden="1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3227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hidden="1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3227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hidden="1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3227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hidden="1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hidden="1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hidden="1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hidden="1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hidden="1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3227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hidden="1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3227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hidden="1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hidden="1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hidden="1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hidden="1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hidden="1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hidden="1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3227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hidden="1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3227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hidden="1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117</v>
      </c>
      <c r="AA395" s="2" t="s">
        <v>118</v>
      </c>
      <c r="AB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hidden="1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hidden="1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hidden="1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3380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hidden="1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117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hidden="1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hidden="1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hidden="1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3227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hidden="1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3227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hidden="1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3227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hidden="1" x14ac:dyDescent="0.2">
      <c r="A405" s="2">
        <v>2025</v>
      </c>
      <c r="B405" s="2">
        <v>2</v>
      </c>
      <c r="C405" s="2" t="s">
        <v>3308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3227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hidden="1" x14ac:dyDescent="0.2">
      <c r="A406" s="2">
        <v>2025</v>
      </c>
      <c r="B406" s="2">
        <v>2</v>
      </c>
      <c r="C406" s="2" t="s">
        <v>3308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3227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hidden="1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3227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hidden="1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3227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hidden="1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3227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hidden="1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3227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hidden="1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3227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hidden="1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3227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hidden="1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3227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hidden="1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3227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hidden="1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3227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hidden="1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hidden="1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3227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hidden="1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3227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hidden="1" x14ac:dyDescent="0.2">
      <c r="A419" s="2">
        <v>2025</v>
      </c>
      <c r="B419" s="2">
        <v>2</v>
      </c>
      <c r="C419" s="2" t="s">
        <v>3304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3371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hidden="1" x14ac:dyDescent="0.2">
      <c r="A420" s="2">
        <v>2025</v>
      </c>
      <c r="B420" s="2">
        <v>2</v>
      </c>
      <c r="C420" s="2" t="s">
        <v>3304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3371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3227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hidden="1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hidden="1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hidden="1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hidden="1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hidden="1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3227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hidden="1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3227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hidden="1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5.3525</f>
        <v>5.3525</v>
      </c>
      <c r="X427" s="5">
        <f t="shared" si="58"/>
        <v>0.62543736878936318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8.9375</v>
      </c>
      <c r="AL427" s="5">
        <f t="shared" si="60"/>
        <v>0.62543736878936318</v>
      </c>
    </row>
    <row r="428" spans="1:38" hidden="1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3227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hidden="1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3227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hidden="1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3227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hidden="1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hidden="1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hidden="1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hidden="1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hidden="1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hidden="1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hidden="1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3227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hidden="1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3227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hidden="1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3227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hidden="1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3227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hidden="1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3227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hidden="1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3227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hidden="1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3227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hidden="1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3227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hidden="1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hidden="1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hidden="1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hidden="1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hidden="1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hidden="1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3227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hidden="1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3227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hidden="1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3227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hidden="1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3227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hidden="1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hidden="1" x14ac:dyDescent="0.2">
      <c r="A455" s="2">
        <v>2025</v>
      </c>
      <c r="B455" s="2">
        <v>2</v>
      </c>
      <c r="C455" s="2" t="s">
        <v>3308</v>
      </c>
      <c r="D455" s="2" t="s">
        <v>3306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3305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3304</v>
      </c>
      <c r="D456" s="2" t="s">
        <v>3303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3302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hidden="1" x14ac:dyDescent="0.2">
      <c r="A457" s="2">
        <v>2025</v>
      </c>
      <c r="B457" s="2">
        <v>2</v>
      </c>
      <c r="C457" s="2" t="s">
        <v>3308</v>
      </c>
      <c r="D457" s="2" t="s">
        <v>3306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3305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hidden="1" x14ac:dyDescent="0.2">
      <c r="A458" s="2">
        <v>2025</v>
      </c>
      <c r="B458" s="2">
        <v>2</v>
      </c>
      <c r="C458" s="2" t="s">
        <v>3308</v>
      </c>
      <c r="D458" s="2" t="s">
        <v>3309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hidden="1" x14ac:dyDescent="0.2">
      <c r="A459" s="2">
        <v>2025</v>
      </c>
      <c r="B459" s="2">
        <v>2</v>
      </c>
      <c r="C459" s="2" t="s">
        <v>3304</v>
      </c>
      <c r="D459" s="2" t="s">
        <v>3303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3302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hidden="1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hidden="1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hidden="1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3380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hidden="1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3227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hidden="1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3227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hidden="1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3227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hidden="1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3227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hidden="1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3227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hidden="1" x14ac:dyDescent="0.2">
      <c r="A468" s="2">
        <v>2025</v>
      </c>
      <c r="B468" s="2">
        <v>2</v>
      </c>
      <c r="D468" s="2" t="s">
        <v>847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hidden="1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hidden="1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3380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hidden="1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hidden="1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3227</v>
      </c>
      <c r="AA472" s="2" t="s">
        <v>155</v>
      </c>
      <c r="AB472" s="2" t="s">
        <v>3382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hidden="1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3227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hidden="1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3227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hidden="1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3227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hidden="1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3227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hidden="1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3227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hidden="1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Z478" s="2" t="s">
        <v>117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hidden="1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3227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hidden="1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3227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hidden="1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3227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hidden="1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3227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hidden="1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3227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hidden="1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3227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hidden="1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3227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hidden="1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hidden="1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hidden="1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hidden="1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hidden="1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hidden="1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3227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hidden="1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3227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hidden="1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3227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hidden="1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3227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hidden="1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3227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hidden="1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3227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hidden="1" x14ac:dyDescent="0.2">
      <c r="A497" s="2">
        <v>2025</v>
      </c>
      <c r="B497" s="2">
        <v>2</v>
      </c>
      <c r="D497" s="2" t="s">
        <v>886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hidden="1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3227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hidden="1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3227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hidden="1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3227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hidden="1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3227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hidden="1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3227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hidden="1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3227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hidden="1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3227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hidden="1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3227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hidden="1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3227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hidden="1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3227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hidden="1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3227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hidden="1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hidden="1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3227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hidden="1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3227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hidden="1" x14ac:dyDescent="0.2">
      <c r="A512" s="2">
        <v>2025</v>
      </c>
      <c r="B512" s="2">
        <v>2</v>
      </c>
      <c r="C512" s="2" t="s">
        <v>3472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3227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hidden="1" x14ac:dyDescent="0.2">
      <c r="A513" s="2">
        <v>2025</v>
      </c>
      <c r="B513" s="2">
        <v>2</v>
      </c>
      <c r="C513" s="2" t="s">
        <v>3472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3227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hidden="1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hidden="1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3380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hidden="1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3227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hidden="1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3227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hidden="1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3227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hidden="1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hidden="1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hidden="1" x14ac:dyDescent="0.2">
      <c r="A521" s="2">
        <v>2025</v>
      </c>
      <c r="B521" s="2">
        <v>2</v>
      </c>
      <c r="C521" s="2" t="s">
        <v>3402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3227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hidden="1" x14ac:dyDescent="0.2">
      <c r="A522" s="2">
        <v>2025</v>
      </c>
      <c r="B522" s="2">
        <v>2</v>
      </c>
      <c r="C522" s="2" t="s">
        <v>3402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3227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hidden="1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hidden="1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hidden="1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hidden="1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3227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hidden="1" x14ac:dyDescent="0.2">
      <c r="A527" s="2">
        <v>2025</v>
      </c>
      <c r="B527" s="2">
        <v>2</v>
      </c>
      <c r="C527" s="2" t="s">
        <v>3402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3227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hidden="1" x14ac:dyDescent="0.2">
      <c r="A528" s="2">
        <v>2025</v>
      </c>
      <c r="B528" s="2">
        <v>2</v>
      </c>
      <c r="C528" s="2" t="s">
        <v>3402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3227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hidden="1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3227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3227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34">
        <f>SIGN(T530)*((ABS(T530)-W530)/ABS(T530))</f>
        <v>0</v>
      </c>
    </row>
    <row r="531" spans="1:38" hidden="1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hidden="1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hidden="1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3227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hidden="1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3227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hidden="1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3227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hidden="1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3227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hidden="1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3227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hidden="1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3227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hidden="1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3227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hidden="1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3227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hidden="1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3227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hidden="1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3227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hidden="1" x14ac:dyDescent="0.2">
      <c r="A544" s="2">
        <v>2025</v>
      </c>
      <c r="B544" s="2">
        <v>3</v>
      </c>
      <c r="C544" s="2" t="s">
        <v>3473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3227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hidden="1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3227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hidden="1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3227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hidden="1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3227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hidden="1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3227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hidden="1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3227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hidden="1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3227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hidden="1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3227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hidden="1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3227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hidden="1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3227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hidden="1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3227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hidden="1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3227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hidden="1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3227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hidden="1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hidden="1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hidden="1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3227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hidden="1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3227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hidden="1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3227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hidden="1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3227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3227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hidden="1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hidden="1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hidden="1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hidden="1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hidden="1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78"/>
        <v>0.26286545454545451</v>
      </c>
      <c r="Z568" s="2" t="s">
        <v>104</v>
      </c>
      <c r="AA568" s="2" t="s">
        <v>616</v>
      </c>
      <c r="AB568" s="2" t="s">
        <v>3491</v>
      </c>
      <c r="AC568" s="2" t="s">
        <v>114</v>
      </c>
      <c r="AF568" s="2">
        <f t="shared" si="72"/>
        <v>0</v>
      </c>
      <c r="AJ568" s="2">
        <f t="shared" si="73"/>
        <v>0</v>
      </c>
      <c r="AK568" s="2">
        <f t="shared" si="79"/>
        <v>1445.7599999999998</v>
      </c>
      <c r="AL568" s="5">
        <f t="shared" si="80"/>
        <v>0.26286545454545451</v>
      </c>
    </row>
    <row r="569" spans="1:38" hidden="1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hidden="1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7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72"/>
        <v>0</v>
      </c>
      <c r="AJ570" s="2">
        <f t="shared" si="73"/>
        <v>0</v>
      </c>
      <c r="AK570" s="2">
        <f t="shared" si="79"/>
        <v>818.07000000000016</v>
      </c>
      <c r="AL570" s="5">
        <f t="shared" si="80"/>
        <v>0.24060882352941182</v>
      </c>
    </row>
    <row r="571" spans="1:38" hidden="1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7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72"/>
        <v>0</v>
      </c>
      <c r="AJ571" s="2">
        <f t="shared" si="73"/>
        <v>0</v>
      </c>
      <c r="AK571" s="2">
        <f t="shared" si="79"/>
        <v>257.36999999999989</v>
      </c>
      <c r="AL571" s="5">
        <f t="shared" si="80"/>
        <v>7.1491666666666634E-2</v>
      </c>
    </row>
    <row r="572" spans="1:38" hidden="1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hidden="1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hidden="1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hidden="1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3227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hidden="1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3227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hidden="1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3227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hidden="1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3227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hidden="1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3227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hidden="1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3227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hidden="1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3227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hidden="1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hidden="1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hidden="1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hidden="1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hidden="1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hidden="1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3227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hidden="1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3227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hidden="1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3227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hidden="1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3227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hidden="1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3227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hidden="1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3227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hidden="1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3227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hidden="1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hidden="1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hidden="1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8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81"/>
        <v>0</v>
      </c>
      <c r="AJ596" s="2">
        <f t="shared" si="82"/>
        <v>0</v>
      </c>
      <c r="AK596" s="2">
        <f t="shared" si="79"/>
        <v>168.61</v>
      </c>
      <c r="AL596" s="5">
        <f t="shared" ref="AL596:AL627" si="84">(T596-W596)/T596</f>
        <v>0.46372387238723872</v>
      </c>
    </row>
    <row r="597" spans="1:38" hidden="1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hidden="1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hidden="1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3380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hidden="1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3227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hidden="1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3227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hidden="1" x14ac:dyDescent="0.2">
      <c r="A602" s="2">
        <v>2025</v>
      </c>
      <c r="B602" s="2">
        <v>3</v>
      </c>
      <c r="D602" s="2" t="s">
        <v>996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3227</v>
      </c>
      <c r="AA602" s="2" t="s">
        <v>71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hidden="1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3227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hidden="1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3227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hidden="1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hidden="1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hidden="1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1004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hidden="1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3227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hidden="1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3227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hidden="1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3227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hidden="1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hidden="1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3227</v>
      </c>
      <c r="AA612" s="2" t="s">
        <v>46</v>
      </c>
      <c r="AB612" s="2" t="s">
        <v>60</v>
      </c>
      <c r="AC612" s="2" t="s">
        <v>3332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hidden="1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hidden="1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hidden="1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hidden="1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3227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hidden="1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3227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hidden="1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hidden="1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hidden="1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hidden="1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3380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hidden="1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hidden="1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hidden="1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hidden="1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3227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hidden="1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3227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hidden="1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3227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hidden="1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3227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hidden="1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3227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hidden="1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3227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hidden="1" x14ac:dyDescent="0.2">
      <c r="A631" s="2">
        <v>2025</v>
      </c>
      <c r="B631" s="2">
        <v>3</v>
      </c>
      <c r="C631" s="2" t="s">
        <v>3457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3227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hidden="1" x14ac:dyDescent="0.2">
      <c r="A632" s="2">
        <v>2025</v>
      </c>
      <c r="B632" s="2">
        <v>3</v>
      </c>
      <c r="C632" s="2" t="s">
        <v>3457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3227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hidden="1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hidden="1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hidden="1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3227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hidden="1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3227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hidden="1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hidden="1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3227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hidden="1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hidden="1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hidden="1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3227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hidden="1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3227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hidden="1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3227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hidden="1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hidden="1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hidden="1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hidden="1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hidden="1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hidden="1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3227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3227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3227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hidden="1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3227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hidden="1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3227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hidden="1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3227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hidden="1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3227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hidden="1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3147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3227</v>
      </c>
      <c r="AA657" s="2" t="s">
        <v>1041</v>
      </c>
      <c r="AB657" s="2" t="s">
        <v>1042</v>
      </c>
      <c r="AC657" s="2" t="s">
        <v>1038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hidden="1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3227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hidden="1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3227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3227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hidden="1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3227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hidden="1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hidden="1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hidden="1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3227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hidden="1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3227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hidden="1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3227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hidden="1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3227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hidden="1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3227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hidden="1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3227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hidden="1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3227</v>
      </c>
      <c r="AA670" s="2" t="s">
        <v>71</v>
      </c>
      <c r="AB670" s="2" t="s">
        <v>1600</v>
      </c>
      <c r="AC670" s="2" t="s">
        <v>1600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hidden="1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3227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hidden="1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3227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hidden="1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3227</v>
      </c>
      <c r="AA673" s="2" t="s">
        <v>3383</v>
      </c>
      <c r="AB673" s="2" t="s">
        <v>3384</v>
      </c>
      <c r="AC673" s="2" t="s">
        <v>3385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hidden="1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3227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hidden="1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3227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hidden="1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3227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hidden="1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3227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hidden="1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3227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hidden="1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3227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hidden="1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3227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hidden="1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3227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hidden="1" x14ac:dyDescent="0.2">
      <c r="A682" s="2">
        <v>2025</v>
      </c>
      <c r="B682" s="2">
        <v>3</v>
      </c>
      <c r="D682" s="2" t="s">
        <v>1073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3227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hidden="1" x14ac:dyDescent="0.2">
      <c r="A683" s="2">
        <v>2025</v>
      </c>
      <c r="B683" s="2">
        <v>3</v>
      </c>
      <c r="D683" s="2" t="s">
        <v>1073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3227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hidden="1" x14ac:dyDescent="0.2">
      <c r="A684" s="2">
        <v>2025</v>
      </c>
      <c r="B684" s="2">
        <v>3</v>
      </c>
      <c r="D684" s="2" t="s">
        <v>1073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3227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hidden="1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hidden="1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hidden="1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3227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hidden="1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3227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hidden="1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hidden="1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hidden="1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3227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hidden="1" x14ac:dyDescent="0.2">
      <c r="A692" s="2">
        <v>2025</v>
      </c>
      <c r="B692" s="2">
        <v>3</v>
      </c>
      <c r="D692" s="2" t="s">
        <v>1083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hidden="1" x14ac:dyDescent="0.2">
      <c r="A693" s="2">
        <v>2025</v>
      </c>
      <c r="B693" s="2">
        <v>3</v>
      </c>
      <c r="D693" s="2" t="s">
        <v>1083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hidden="1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hidden="1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3227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hidden="1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3227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hidden="1" x14ac:dyDescent="0.2">
      <c r="A697" s="2">
        <v>2025</v>
      </c>
      <c r="B697" s="2">
        <v>3</v>
      </c>
      <c r="D697" s="2" t="s">
        <v>1092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117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hidden="1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hidden="1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hidden="1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hidden="1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hidden="1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117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hidden="1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hidden="1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3227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hidden="1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3227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hidden="1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3227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hidden="1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3227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hidden="1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3227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hidden="1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3227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hidden="1" x14ac:dyDescent="0.2">
      <c r="A710" s="2">
        <v>2025</v>
      </c>
      <c r="B710" s="2">
        <v>3</v>
      </c>
      <c r="D710" s="2" t="s">
        <v>582</v>
      </c>
      <c r="E710" s="2" t="s">
        <v>108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3227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hidden="1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3227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hidden="1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3227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hidden="1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3227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hidden="1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3227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hidden="1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hidden="1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3227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hidden="1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hidden="1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3227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hidden="1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hidden="1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hidden="1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3227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hidden="1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hidden="1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hidden="1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3380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hidden="1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3227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hidden="1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3227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hidden="1" x14ac:dyDescent="0.2">
      <c r="A727" s="2">
        <v>2025</v>
      </c>
      <c r="B727" s="2">
        <v>3</v>
      </c>
      <c r="C727" s="2" t="s">
        <v>3454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3245</v>
      </c>
      <c r="J727" s="2" t="s">
        <v>3246</v>
      </c>
      <c r="K727" s="2">
        <v>96179412</v>
      </c>
      <c r="L727" s="2" t="s">
        <v>461</v>
      </c>
      <c r="M727" s="2" t="s">
        <v>40</v>
      </c>
      <c r="O727" s="2" t="s">
        <v>3248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hidden="1" x14ac:dyDescent="0.2">
      <c r="A728" s="2">
        <v>2025</v>
      </c>
      <c r="B728" s="2">
        <v>3</v>
      </c>
      <c r="C728" s="2" t="s">
        <v>3454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3245</v>
      </c>
      <c r="J728" s="2" t="s">
        <v>3246</v>
      </c>
      <c r="K728" s="2">
        <v>96179412</v>
      </c>
      <c r="L728" s="2" t="s">
        <v>461</v>
      </c>
      <c r="M728" s="2" t="s">
        <v>40</v>
      </c>
      <c r="O728" s="2" t="s">
        <v>3248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hidden="1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3227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hidden="1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3227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hidden="1" x14ac:dyDescent="0.2">
      <c r="A731" s="2">
        <v>2025</v>
      </c>
      <c r="B731" s="2">
        <v>3</v>
      </c>
      <c r="C731" s="2" t="s">
        <v>3457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3227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hidden="1" x14ac:dyDescent="0.2">
      <c r="A732" s="2">
        <v>2025</v>
      </c>
      <c r="B732" s="2">
        <v>3</v>
      </c>
      <c r="C732" s="2" t="s">
        <v>3457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3227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hidden="1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hidden="1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hidden="1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3218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hidden="1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hidden="1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hidden="1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3227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3227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3227</v>
      </c>
      <c r="AA740" s="2" t="s">
        <v>46</v>
      </c>
      <c r="AB740" s="2" t="s">
        <v>60</v>
      </c>
      <c r="AC740" s="2" t="s">
        <v>3332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3227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3227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3227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3227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3227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3227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3227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3227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3227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3227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3227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3192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3227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3227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3227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hidden="1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hidden="1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3227</v>
      </c>
      <c r="AA756" s="2" t="s">
        <v>71</v>
      </c>
      <c r="AB756" s="2" t="s">
        <v>68</v>
      </c>
      <c r="AC756" s="2" t="s">
        <v>3231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hidden="1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3227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hidden="1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hidden="1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hidden="1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hidden="1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hidden="1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3380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hidden="1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3227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hidden="1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103"/>
        <v>1</v>
      </c>
      <c r="Z764" s="2" t="s">
        <v>117</v>
      </c>
      <c r="AF764" s="2">
        <f t="shared" si="97"/>
        <v>0</v>
      </c>
      <c r="AJ764" s="2">
        <f t="shared" si="98"/>
        <v>0</v>
      </c>
      <c r="AK764" s="2">
        <f t="shared" si="102"/>
        <v>28.57</v>
      </c>
      <c r="AL764" s="5">
        <f t="shared" ref="AL764:AL774" si="104">(T764-W764)/T764</f>
        <v>1</v>
      </c>
    </row>
    <row r="765" spans="1:38" hidden="1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hidden="1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hidden="1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hidden="1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X768" s="5">
        <f t="shared" si="103"/>
        <v>1</v>
      </c>
      <c r="Z768" s="2" t="s">
        <v>117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hidden="1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hidden="1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hidden="1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hidden="1" x14ac:dyDescent="0.2">
      <c r="A772" s="2">
        <v>2025</v>
      </c>
      <c r="B772" s="2">
        <v>4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3227</v>
      </c>
      <c r="AA772" s="2" t="s">
        <v>71</v>
      </c>
      <c r="AB772" s="2" t="s">
        <v>68</v>
      </c>
      <c r="AC772" s="2" t="s">
        <v>3231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hidden="1" x14ac:dyDescent="0.2">
      <c r="A773" s="2">
        <v>2025</v>
      </c>
      <c r="B773" s="2">
        <v>4</v>
      </c>
      <c r="C773" s="2" t="s">
        <v>3322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hidden="1" x14ac:dyDescent="0.2">
      <c r="A774" s="2">
        <v>2025</v>
      </c>
      <c r="B774" s="2">
        <v>4</v>
      </c>
      <c r="C774" s="2" t="s">
        <v>3322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hidden="1" x14ac:dyDescent="0.2">
      <c r="A775" s="2">
        <v>2025</v>
      </c>
      <c r="B775" s="2">
        <v>4</v>
      </c>
      <c r="C775" s="2" t="s">
        <v>3322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3227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hidden="1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hidden="1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hidden="1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3227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hidden="1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3227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hidden="1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3227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hidden="1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3227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hidden="1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3227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hidden="1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3227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hidden="1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3227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hidden="1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3227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hidden="1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3227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hidden="1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hidden="1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hidden="1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3227</v>
      </c>
      <c r="AA790" s="2" t="s">
        <v>71</v>
      </c>
      <c r="AB790" s="2" t="s">
        <v>68</v>
      </c>
      <c r="AC790" s="2" t="s">
        <v>3231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hidden="1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hidden="1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3227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hidden="1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3227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hidden="1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3380</v>
      </c>
      <c r="AF794" s="2">
        <f t="shared" si="105"/>
        <v>0</v>
      </c>
      <c r="AJ794" s="2">
        <f t="shared" si="106"/>
        <v>0</v>
      </c>
    </row>
    <row r="795" spans="1:38" hidden="1" x14ac:dyDescent="0.2">
      <c r="A795" s="2">
        <v>2025</v>
      </c>
      <c r="B795" s="2">
        <v>4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3227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hidden="1" x14ac:dyDescent="0.2">
      <c r="A796" s="2">
        <v>2025</v>
      </c>
      <c r="B796" s="2">
        <v>4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3227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hidden="1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3219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3227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hidden="1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3219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3227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hidden="1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hidden="1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hidden="1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hidden="1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hidden="1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117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hidden="1" x14ac:dyDescent="0.2">
      <c r="A804" s="2">
        <v>2025</v>
      </c>
      <c r="B804" s="2">
        <v>4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3227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hidden="1" x14ac:dyDescent="0.2">
      <c r="A805" s="2">
        <v>2025</v>
      </c>
      <c r="B805" s="2">
        <v>4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3227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hidden="1" x14ac:dyDescent="0.2">
      <c r="A806" s="2">
        <v>2025</v>
      </c>
      <c r="B806" s="2">
        <v>4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3227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hidden="1" x14ac:dyDescent="0.2">
      <c r="A807" s="2">
        <v>2025</v>
      </c>
      <c r="B807" s="2">
        <v>4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3227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hidden="1" x14ac:dyDescent="0.2">
      <c r="A808" s="2">
        <v>2025</v>
      </c>
      <c r="B808" s="2">
        <v>4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3227</v>
      </c>
      <c r="AA808" s="2" t="s">
        <v>87</v>
      </c>
      <c r="AB808" s="2" t="s">
        <v>119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hidden="1" x14ac:dyDescent="0.2">
      <c r="A809" s="2">
        <v>2025</v>
      </c>
      <c r="B809" s="2">
        <v>4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3227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hidden="1" x14ac:dyDescent="0.2">
      <c r="A810" s="2">
        <v>2025</v>
      </c>
      <c r="B810" s="2">
        <v>4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3227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hidden="1" x14ac:dyDescent="0.2">
      <c r="A811" s="2">
        <v>2025</v>
      </c>
      <c r="B811" s="2">
        <v>4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3227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hidden="1" x14ac:dyDescent="0.2">
      <c r="A812" s="2">
        <v>2025</v>
      </c>
      <c r="B812" s="2">
        <v>4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3227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hidden="1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3227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hidden="1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3227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hidden="1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X815" s="5">
        <f t="shared" si="113"/>
        <v>1</v>
      </c>
      <c r="Z815" s="2" t="s">
        <v>117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hidden="1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hidden="1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hidden="1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3227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hidden="1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3227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hidden="1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3227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hidden="1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3227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hidden="1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3227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hidden="1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3227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hidden="1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3227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hidden="1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3227</v>
      </c>
      <c r="AA825" s="2" t="s">
        <v>75</v>
      </c>
      <c r="AB825" s="2" t="s">
        <v>76</v>
      </c>
      <c r="AC825" s="2" t="s">
        <v>1038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hidden="1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3227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hidden="1" x14ac:dyDescent="0.2">
      <c r="A827" s="2">
        <v>2025</v>
      </c>
      <c r="B827" s="2">
        <v>4</v>
      </c>
      <c r="D827" s="2" t="s">
        <v>1228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hidden="1" x14ac:dyDescent="0.2">
      <c r="A828" s="2">
        <v>2025</v>
      </c>
      <c r="B828" s="2">
        <v>4</v>
      </c>
      <c r="D828" s="2" t="s">
        <v>1228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hidden="1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3227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hidden="1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3227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hidden="1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3227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hidden="1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3227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hidden="1" x14ac:dyDescent="0.2">
      <c r="A833" s="2">
        <v>2025</v>
      </c>
      <c r="B833" s="2">
        <v>4</v>
      </c>
      <c r="D833" s="2" t="s">
        <v>1232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3227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hidden="1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3227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hidden="1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3227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hidden="1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hidden="1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hidden="1" x14ac:dyDescent="0.2">
      <c r="A838" s="2">
        <v>2025</v>
      </c>
      <c r="B838" s="2">
        <v>4</v>
      </c>
      <c r="C838" s="2" t="s">
        <v>3408</v>
      </c>
      <c r="D838" s="2" t="s">
        <v>3406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hidden="1" x14ac:dyDescent="0.2">
      <c r="A839" s="2">
        <v>2025</v>
      </c>
      <c r="B839" s="2">
        <v>4</v>
      </c>
      <c r="C839" s="2" t="s">
        <v>3408</v>
      </c>
      <c r="D839" s="2" t="s">
        <v>3406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hidden="1" x14ac:dyDescent="0.2">
      <c r="A840" s="2">
        <v>2025</v>
      </c>
      <c r="B840" s="2">
        <v>4</v>
      </c>
      <c r="C840" s="2" t="s">
        <v>3408</v>
      </c>
      <c r="D840" s="2" t="s">
        <v>3406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hidden="1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3227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hidden="1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3227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hidden="1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3227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hidden="1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3227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hidden="1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3227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hidden="1" x14ac:dyDescent="0.2">
      <c r="A846" s="2">
        <v>2025</v>
      </c>
      <c r="B846" s="2">
        <v>4</v>
      </c>
      <c r="C846" s="2" t="s">
        <v>3408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3227</v>
      </c>
      <c r="AA846" s="2" t="s">
        <v>71</v>
      </c>
      <c r="AB846" s="2" t="s">
        <v>68</v>
      </c>
      <c r="AC846" s="2" t="s">
        <v>3231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hidden="1" x14ac:dyDescent="0.2">
      <c r="A847" s="2">
        <v>2025</v>
      </c>
      <c r="B847" s="2">
        <v>4</v>
      </c>
      <c r="C847" s="2" t="s">
        <v>3408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hidden="1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3220</v>
      </c>
      <c r="J848" s="2" t="s">
        <v>3221</v>
      </c>
      <c r="L848" s="2" t="s">
        <v>339</v>
      </c>
      <c r="M848" s="2" t="s">
        <v>40</v>
      </c>
      <c r="O848" s="2" t="s">
        <v>3222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hidden="1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3220</v>
      </c>
      <c r="J849" s="2" t="s">
        <v>3221</v>
      </c>
      <c r="L849" s="2" t="s">
        <v>339</v>
      </c>
      <c r="M849" s="2" t="s">
        <v>40</v>
      </c>
      <c r="O849" s="2" t="s">
        <v>3222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hidden="1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hidden="1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hidden="1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3227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hidden="1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3227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hidden="1" x14ac:dyDescent="0.2">
      <c r="A854" s="2">
        <v>2025</v>
      </c>
      <c r="B854" s="2">
        <v>4</v>
      </c>
      <c r="C854" s="2" t="s">
        <v>3311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3227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hidden="1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3227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hidden="1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3227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hidden="1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3227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hidden="1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3227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hidden="1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hidden="1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hidden="1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hidden="1" x14ac:dyDescent="0.2">
      <c r="A862" s="2">
        <v>2025</v>
      </c>
      <c r="B862" s="2">
        <v>4</v>
      </c>
      <c r="C862" s="2" t="s">
        <v>3408</v>
      </c>
      <c r="D862" s="15" t="s">
        <v>3337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3227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hidden="1" x14ac:dyDescent="0.2">
      <c r="A863" s="2">
        <v>2025</v>
      </c>
      <c r="B863" s="2">
        <v>4</v>
      </c>
      <c r="C863" s="2" t="s">
        <v>3408</v>
      </c>
      <c r="D863" s="15" t="s">
        <v>3337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3227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hidden="1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3380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hidden="1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hidden="1" x14ac:dyDescent="0.2">
      <c r="A866" s="2">
        <v>2025</v>
      </c>
      <c r="B866" s="2">
        <v>4</v>
      </c>
      <c r="C866" s="2" t="s">
        <v>3311</v>
      </c>
      <c r="D866" s="2" t="s">
        <v>3310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hidden="1" x14ac:dyDescent="0.2">
      <c r="A867" s="2">
        <v>2025</v>
      </c>
      <c r="B867" s="2">
        <v>4</v>
      </c>
      <c r="C867" s="2" t="s">
        <v>3311</v>
      </c>
      <c r="D867" s="2" t="s">
        <v>3312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hidden="1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3227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hidden="1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3227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hidden="1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3227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hidden="1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3227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hidden="1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3227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hidden="1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3227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hidden="1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3227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hidden="1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3227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hidden="1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hidden="1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hidden="1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3380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hidden="1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3227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hidden="1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3227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hidden="1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hidden="1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3227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hidden="1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3227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hidden="1" x14ac:dyDescent="0.2">
      <c r="A884" s="2">
        <v>2025</v>
      </c>
      <c r="B884" s="2">
        <v>4</v>
      </c>
      <c r="C884" s="2" t="s">
        <v>3408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hidden="1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3227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hidden="1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hidden="1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3227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hidden="1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3380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hidden="1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3134</v>
      </c>
      <c r="L889" s="2" t="s">
        <v>177</v>
      </c>
      <c r="M889" s="2" t="s">
        <v>41</v>
      </c>
      <c r="O889" s="2" t="s">
        <v>3136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3227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hidden="1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3134</v>
      </c>
      <c r="L890" s="2" t="s">
        <v>177</v>
      </c>
      <c r="M890" s="2" t="s">
        <v>41</v>
      </c>
      <c r="O890" s="2" t="s">
        <v>3136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3227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hidden="1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3227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hidden="1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3227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hidden="1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3227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hidden="1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3227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hidden="1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3227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hidden="1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3227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hidden="1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3227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hidden="1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3227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3227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3149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3227</v>
      </c>
      <c r="AA902" s="2" t="s">
        <v>1041</v>
      </c>
      <c r="AB902" s="2" t="s">
        <v>1270</v>
      </c>
      <c r="AC902" s="2" t="s">
        <v>1038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120</v>
      </c>
      <c r="X905" s="5">
        <f t="shared" ref="X905:X912" si="126">(T905-W905)/T905</f>
        <v>-0.14285714285714285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-15</v>
      </c>
      <c r="AL905" s="5">
        <f t="shared" ref="AL905:AL922" si="128">(T905-W905)/T905</f>
        <v>-0.14285714285714285</v>
      </c>
    </row>
    <row r="906" spans="1:38" x14ac:dyDescent="0.2">
      <c r="A906" s="2">
        <v>2025</v>
      </c>
      <c r="B906" s="2">
        <v>4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3227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hidden="1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hidden="1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hidden="1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hidden="1" x14ac:dyDescent="0.2">
      <c r="A910" s="2">
        <v>2025</v>
      </c>
      <c r="B910" s="2">
        <v>4</v>
      </c>
      <c r="D910" s="2" t="s">
        <v>1275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hidden="1" x14ac:dyDescent="0.2">
      <c r="A911" s="2">
        <v>2025</v>
      </c>
      <c r="B911" s="2">
        <v>4</v>
      </c>
      <c r="D911" s="2" t="s">
        <v>1275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hidden="1" x14ac:dyDescent="0.2">
      <c r="A912" s="2">
        <v>2025</v>
      </c>
      <c r="B912" s="2">
        <v>4</v>
      </c>
      <c r="C912" s="2" t="s">
        <v>3408</v>
      </c>
      <c r="D912" s="2" t="s">
        <v>1281</v>
      </c>
      <c r="E912" s="2" t="s">
        <v>183</v>
      </c>
      <c r="F912" s="2" t="s">
        <v>2994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hidden="1" x14ac:dyDescent="0.2">
      <c r="A913" s="2">
        <v>2025</v>
      </c>
      <c r="B913" s="2">
        <v>4</v>
      </c>
      <c r="C913" s="2" t="s">
        <v>3408</v>
      </c>
      <c r="D913" s="2" t="s">
        <v>1281</v>
      </c>
      <c r="E913" s="2" t="s">
        <v>183</v>
      </c>
      <c r="F913" s="2" t="s">
        <v>2994</v>
      </c>
      <c r="L913" s="2" t="s">
        <v>99</v>
      </c>
      <c r="M913" s="2" t="s">
        <v>80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104</v>
      </c>
      <c r="AA913" s="2" t="s">
        <v>1574</v>
      </c>
      <c r="AB913" s="2" t="s">
        <v>388</v>
      </c>
      <c r="AC913" s="2" t="s">
        <v>1327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hidden="1" x14ac:dyDescent="0.2">
      <c r="A914" s="2">
        <v>2025</v>
      </c>
      <c r="B914" s="2">
        <v>4</v>
      </c>
      <c r="C914" s="2" t="s">
        <v>3408</v>
      </c>
      <c r="D914" s="2" t="s">
        <v>1281</v>
      </c>
      <c r="E914" s="2" t="s">
        <v>183</v>
      </c>
      <c r="F914" s="2" t="s">
        <v>2994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hidden="1" x14ac:dyDescent="0.2">
      <c r="A915" s="2">
        <v>2025</v>
      </c>
      <c r="B915" s="2">
        <v>4</v>
      </c>
      <c r="C915" s="2" t="s">
        <v>3408</v>
      </c>
      <c r="D915" s="2" t="s">
        <v>1281</v>
      </c>
      <c r="E915" s="2" t="s">
        <v>183</v>
      </c>
      <c r="F915" s="2" t="s">
        <v>2994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hidden="1" x14ac:dyDescent="0.2">
      <c r="A916" s="2">
        <v>2025</v>
      </c>
      <c r="B916" s="2">
        <v>4</v>
      </c>
      <c r="C916" s="2" t="s">
        <v>3408</v>
      </c>
      <c r="D916" s="2" t="s">
        <v>1281</v>
      </c>
      <c r="E916" s="2" t="s">
        <v>183</v>
      </c>
      <c r="F916" s="2" t="s">
        <v>2994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hidden="1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hidden="1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hidden="1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3199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3227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hidden="1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3227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hidden="1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hidden="1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hidden="1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hidden="1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3227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hidden="1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hidden="1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hidden="1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3380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hidden="1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2746</v>
      </c>
      <c r="AB929" s="2" t="s">
        <v>3397</v>
      </c>
      <c r="AC929" s="2" t="s">
        <v>1194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hidden="1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3227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hidden="1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3227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hidden="1" x14ac:dyDescent="0.2">
      <c r="A932" s="2">
        <v>2025</v>
      </c>
      <c r="B932" s="2">
        <v>4</v>
      </c>
      <c r="C932" s="2" t="s">
        <v>3408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3245</v>
      </c>
      <c r="J932" s="2" t="s">
        <v>3246</v>
      </c>
      <c r="K932" s="2">
        <v>96179412</v>
      </c>
      <c r="L932" s="2" t="s">
        <v>461</v>
      </c>
      <c r="M932" s="2" t="s">
        <v>40</v>
      </c>
      <c r="O932" s="2" t="s">
        <v>3249</v>
      </c>
      <c r="P932" s="2" t="s">
        <v>3256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3255</v>
      </c>
      <c r="AB932" s="2" t="s">
        <v>1112</v>
      </c>
      <c r="AC932" s="2" t="s">
        <v>3254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hidden="1" x14ac:dyDescent="0.2">
      <c r="A933" s="2">
        <v>2025</v>
      </c>
      <c r="B933" s="2">
        <v>4</v>
      </c>
      <c r="C933" s="2" t="s">
        <v>3322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3227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hidden="1" x14ac:dyDescent="0.2">
      <c r="A934" s="2">
        <v>2025</v>
      </c>
      <c r="B934" s="2">
        <v>4</v>
      </c>
      <c r="C934" s="2" t="s">
        <v>3322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3227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hidden="1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3227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hidden="1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3227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hidden="1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3227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hidden="1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3151</v>
      </c>
      <c r="M938" s="2" t="s">
        <v>80</v>
      </c>
      <c r="O938" s="2" t="s">
        <v>3150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3227</v>
      </c>
      <c r="AA938" s="2" t="s">
        <v>1041</v>
      </c>
      <c r="AB938" s="2" t="s">
        <v>1318</v>
      </c>
      <c r="AC938" s="2" t="s">
        <v>1038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hidden="1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3227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hidden="1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3227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hidden="1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3227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hidden="1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3227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hidden="1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3227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hidden="1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3227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hidden="1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3227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hidden="1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3227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3227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3227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3227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3227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3227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3227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3227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3227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3227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3227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3227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3227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3227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hidden="1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3227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hidden="1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3227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hidden="1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3227</v>
      </c>
      <c r="AA962" s="2" t="s">
        <v>578</v>
      </c>
      <c r="AB962" s="2" t="s">
        <v>119</v>
      </c>
      <c r="AC962" s="2" t="s">
        <v>1327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hidden="1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hidden="1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hidden="1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hidden="1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3227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hidden="1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hidden="1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hidden="1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hidden="1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3227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hidden="1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3227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hidden="1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hidden="1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3227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hidden="1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3227</v>
      </c>
      <c r="AA974" s="2" t="s">
        <v>1041</v>
      </c>
      <c r="AB974" s="2" t="s">
        <v>1318</v>
      </c>
      <c r="AC974" s="2" t="s">
        <v>1038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hidden="1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3227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hidden="1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3227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hidden="1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3227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hidden="1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3227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hidden="1" x14ac:dyDescent="0.2">
      <c r="A979" s="2">
        <v>2025</v>
      </c>
      <c r="B979" s="2">
        <v>5</v>
      </c>
      <c r="C979" s="2" t="s">
        <v>3325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3227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hidden="1" x14ac:dyDescent="0.2">
      <c r="A980" s="2">
        <v>2025</v>
      </c>
      <c r="B980" s="2">
        <v>5</v>
      </c>
      <c r="C980" s="2" t="s">
        <v>3325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3227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hidden="1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3227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hidden="1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3227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hidden="1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37"/>
        <v>1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40.53</v>
      </c>
      <c r="AL983" s="5">
        <f t="shared" si="138"/>
        <v>1</v>
      </c>
    </row>
    <row r="984" spans="1:38" hidden="1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hidden="1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hidden="1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hidden="1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3227</v>
      </c>
      <c r="AA989" s="2" t="s">
        <v>75</v>
      </c>
      <c r="AB989" s="2" t="s">
        <v>76</v>
      </c>
      <c r="AC989" s="2" t="s">
        <v>1358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hidden="1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hidden="1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hidden="1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hidden="1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3227</v>
      </c>
      <c r="AA993" s="2" t="s">
        <v>46</v>
      </c>
      <c r="AB993" s="2" t="s">
        <v>60</v>
      </c>
      <c r="AC993" s="2" t="s">
        <v>3332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hidden="1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3227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hidden="1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3227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hidden="1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3227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hidden="1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3227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hidden="1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hidden="1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3227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3227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hidden="1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3227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hidden="1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3227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hidden="1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3227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3298</v>
      </c>
      <c r="D1005" s="2" t="s">
        <v>1372</v>
      </c>
      <c r="E1005" s="2" t="s">
        <v>38</v>
      </c>
      <c r="F1005" s="2" t="s">
        <v>39</v>
      </c>
      <c r="I1005" s="2" t="s">
        <v>3299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3227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3298</v>
      </c>
      <c r="D1006" s="2" t="s">
        <v>1372</v>
      </c>
      <c r="E1006" s="2" t="s">
        <v>38</v>
      </c>
      <c r="F1006" s="2" t="s">
        <v>39</v>
      </c>
      <c r="I1006" s="2" t="s">
        <v>3299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3297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hidden="1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3227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3227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117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hidden="1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hidden="1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hidden="1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3227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3227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hidden="1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3227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3227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hidden="1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3227</v>
      </c>
      <c r="AA1016" s="2" t="s">
        <v>1041</v>
      </c>
      <c r="AB1016" s="2" t="s">
        <v>1318</v>
      </c>
      <c r="AC1016" s="2" t="s">
        <v>1378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hidden="1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3227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hidden="1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3227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hidden="1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3227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3227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hidden="1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3227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hidden="1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3227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3227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3227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hidden="1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3176</v>
      </c>
      <c r="K1025" s="2">
        <v>911577458</v>
      </c>
      <c r="L1025" s="2" t="s">
        <v>177</v>
      </c>
      <c r="M1025" s="2" t="s">
        <v>41</v>
      </c>
      <c r="O1025" s="2" t="s">
        <v>3178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3227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3176</v>
      </c>
      <c r="K1026" s="2">
        <v>911577458</v>
      </c>
      <c r="L1026" s="2" t="s">
        <v>177</v>
      </c>
      <c r="M1026" s="2" t="s">
        <v>41</v>
      </c>
      <c r="O1026" s="2" t="s">
        <v>3178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3227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3176</v>
      </c>
      <c r="K1027" s="2">
        <v>911577458</v>
      </c>
      <c r="L1027" s="2" t="s">
        <v>177</v>
      </c>
      <c r="M1027" s="2" t="s">
        <v>41</v>
      </c>
      <c r="O1027" s="2" t="s">
        <v>3178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3227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3325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3181</v>
      </c>
      <c r="L1029" s="2" t="s">
        <v>133</v>
      </c>
      <c r="M1029" s="2" t="s">
        <v>40</v>
      </c>
      <c r="O1029" s="2" t="s">
        <v>3183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3181</v>
      </c>
      <c r="L1030" s="2" t="s">
        <v>133</v>
      </c>
      <c r="M1030" s="2" t="s">
        <v>40</v>
      </c>
      <c r="O1030" s="2" t="s">
        <v>3183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hidden="1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3181</v>
      </c>
      <c r="L1031" s="2" t="s">
        <v>133</v>
      </c>
      <c r="M1031" s="2" t="s">
        <v>40</v>
      </c>
      <c r="O1031" s="2" t="s">
        <v>3183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hidden="1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42"/>
        <v>1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128.09</v>
      </c>
      <c r="AL1032" s="5">
        <f t="shared" si="143"/>
        <v>1</v>
      </c>
    </row>
    <row r="1033" spans="1:38" hidden="1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hidden="1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hidden="1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hidden="1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hidden="1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hidden="1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3227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3227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hidden="1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3227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hidden="1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3227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hidden="1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3227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3227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hidden="1" x14ac:dyDescent="0.2">
      <c r="A1044" s="2">
        <v>2025</v>
      </c>
      <c r="B1044" s="2">
        <v>5</v>
      </c>
      <c r="C1044" s="2" t="s">
        <v>3325</v>
      </c>
      <c r="D1044" s="15" t="s">
        <v>3337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3227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hidden="1" x14ac:dyDescent="0.2">
      <c r="A1045" s="2">
        <v>2025</v>
      </c>
      <c r="B1045" s="2">
        <v>5</v>
      </c>
      <c r="C1045" s="2" t="s">
        <v>3325</v>
      </c>
      <c r="D1045" s="15" t="s">
        <v>3337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3227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hidden="1" x14ac:dyDescent="0.2">
      <c r="A1046" s="2">
        <v>2025</v>
      </c>
      <c r="B1046" s="2">
        <v>5</v>
      </c>
      <c r="C1046" s="2" t="s">
        <v>3315</v>
      </c>
      <c r="D1046" s="2" t="s">
        <v>3314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3298</v>
      </c>
      <c r="D1047" s="2" t="s">
        <v>3313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3227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3298</v>
      </c>
      <c r="D1048" s="2" t="s">
        <v>3313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3227</v>
      </c>
      <c r="AA1048" s="2" t="s">
        <v>71</v>
      </c>
      <c r="AB1048" s="2" t="s">
        <v>1600</v>
      </c>
      <c r="AC1048" s="2" t="s">
        <v>1600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3298</v>
      </c>
      <c r="D1049" s="2" t="s">
        <v>3313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3227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hidden="1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3227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3227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hidden="1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hidden="1" x14ac:dyDescent="0.2">
      <c r="A1054" s="2">
        <v>2025</v>
      </c>
      <c r="B1054" s="2">
        <v>5</v>
      </c>
      <c r="C1054" s="2" t="s">
        <v>3315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3231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hidden="1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3217</v>
      </c>
      <c r="J1055" s="2" t="s">
        <v>3216</v>
      </c>
      <c r="K1055" s="2">
        <v>913814877</v>
      </c>
      <c r="L1055" s="2" t="s">
        <v>201</v>
      </c>
      <c r="M1055" s="2" t="s">
        <v>80</v>
      </c>
      <c r="O1055" s="2" t="s">
        <v>3208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3227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3217</v>
      </c>
      <c r="J1056" s="2" t="s">
        <v>3216</v>
      </c>
      <c r="K1056" s="2">
        <v>913814877</v>
      </c>
      <c r="L1056" s="2" t="s">
        <v>201</v>
      </c>
      <c r="M1056" s="2" t="s">
        <v>80</v>
      </c>
      <c r="O1056" s="2" t="s">
        <v>3208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3227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3217</v>
      </c>
      <c r="J1057" s="2" t="s">
        <v>3216</v>
      </c>
      <c r="K1057" s="2">
        <v>913814877</v>
      </c>
      <c r="L1057" s="2" t="s">
        <v>201</v>
      </c>
      <c r="M1057" s="2" t="s">
        <v>40</v>
      </c>
      <c r="O1057" s="2" t="s">
        <v>3209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hidden="1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3217</v>
      </c>
      <c r="J1058" s="2" t="s">
        <v>3216</v>
      </c>
      <c r="K1058" s="2">
        <v>913814877</v>
      </c>
      <c r="L1058" s="2" t="s">
        <v>201</v>
      </c>
      <c r="M1058" s="2" t="s">
        <v>40</v>
      </c>
      <c r="O1058" s="2" t="s">
        <v>3209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3217</v>
      </c>
      <c r="J1059" s="2" t="s">
        <v>3216</v>
      </c>
      <c r="K1059" s="2">
        <v>913814877</v>
      </c>
      <c r="L1059" s="2" t="s">
        <v>201</v>
      </c>
      <c r="M1059" s="2" t="s">
        <v>40</v>
      </c>
      <c r="O1059" s="2" t="s">
        <v>3209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3380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hidden="1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3227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3227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hidden="1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hidden="1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hidden="1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hidden="1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hidden="1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hidden="1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hidden="1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hidden="1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hidden="1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3227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3227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hidden="1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3227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hidden="1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3227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1412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117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hidden="1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3227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3193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3227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hidden="1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3227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hidden="1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3227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3227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hidden="1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3227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3227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hidden="1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3227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3227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hidden="1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3227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3227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hidden="1" x14ac:dyDescent="0.2">
      <c r="A1089" s="2">
        <v>2025</v>
      </c>
      <c r="B1089" s="2">
        <v>5</v>
      </c>
      <c r="D1089" s="2" t="s">
        <v>1421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117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hidden="1" x14ac:dyDescent="0.2">
      <c r="A1090" s="2">
        <v>2025</v>
      </c>
      <c r="B1090" s="2">
        <v>5</v>
      </c>
      <c r="D1090" s="2" t="s">
        <v>1421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117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hidden="1" x14ac:dyDescent="0.2">
      <c r="A1091" s="2">
        <v>2025</v>
      </c>
      <c r="B1091" s="2">
        <v>5</v>
      </c>
      <c r="D1091" s="2" t="s">
        <v>1421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117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hidden="1" x14ac:dyDescent="0.2">
      <c r="A1092" s="2">
        <v>2025</v>
      </c>
      <c r="B1092" s="2">
        <v>5</v>
      </c>
      <c r="D1092" s="2" t="s">
        <v>1421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hidden="1" x14ac:dyDescent="0.2">
      <c r="A1093" s="2">
        <v>2025</v>
      </c>
      <c r="B1093" s="2">
        <v>5</v>
      </c>
      <c r="D1093" s="2" t="s">
        <v>1421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hidden="1" x14ac:dyDescent="0.2">
      <c r="A1094" s="2">
        <v>2025</v>
      </c>
      <c r="B1094" s="2">
        <v>5</v>
      </c>
      <c r="D1094" s="2" t="s">
        <v>1421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</row>
    <row r="1095" spans="1:38" hidden="1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117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hidden="1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3227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hidden="1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3227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hidden="1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3227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3227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hidden="1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3227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3227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hidden="1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hidden="1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3227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hidden="1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hidden="1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hidden="1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3227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3200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3227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3227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hidden="1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3227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3227</v>
      </c>
      <c r="AA1113" s="2" t="s">
        <v>46</v>
      </c>
      <c r="AB1113" s="2" t="s">
        <v>60</v>
      </c>
      <c r="AC1113" s="2" t="s">
        <v>3332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hidden="1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3227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3227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hidden="1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119</v>
      </c>
      <c r="AA1118" s="2" t="s">
        <v>3380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hidden="1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3227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hidden="1" x14ac:dyDescent="0.2">
      <c r="A1121" s="2">
        <v>2025</v>
      </c>
      <c r="B1121" s="2">
        <v>4</v>
      </c>
      <c r="C1121" s="2" t="s">
        <v>3408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3245</v>
      </c>
      <c r="J1121" s="2" t="s">
        <v>3246</v>
      </c>
      <c r="K1121" s="2">
        <v>96179412</v>
      </c>
      <c r="L1121" s="2" t="s">
        <v>461</v>
      </c>
      <c r="M1121" s="2" t="s">
        <v>40</v>
      </c>
      <c r="O1121" s="2" t="s">
        <v>3249</v>
      </c>
      <c r="P1121" s="2" t="s">
        <v>40</v>
      </c>
      <c r="Q1121" s="2" t="s">
        <v>1308</v>
      </c>
      <c r="R1121" s="2" t="s">
        <v>3250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hidden="1" x14ac:dyDescent="0.2">
      <c r="A1122" s="2">
        <v>2025</v>
      </c>
      <c r="B1122" s="2">
        <v>4</v>
      </c>
      <c r="C1122" s="2" t="s">
        <v>3408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3245</v>
      </c>
      <c r="J1122" s="2" t="s">
        <v>3246</v>
      </c>
      <c r="K1122" s="2">
        <v>96179412</v>
      </c>
      <c r="L1122" s="2" t="s">
        <v>461</v>
      </c>
      <c r="M1122" s="2" t="s">
        <v>40</v>
      </c>
      <c r="O1122" s="2" t="s">
        <v>3249</v>
      </c>
      <c r="P1122" s="2" t="s">
        <v>40</v>
      </c>
      <c r="Q1122" s="2" t="s">
        <v>1308</v>
      </c>
      <c r="R1122" s="2" t="s">
        <v>3251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hidden="1" x14ac:dyDescent="0.2">
      <c r="A1123" s="2">
        <v>2025</v>
      </c>
      <c r="B1123" s="2">
        <v>5</v>
      </c>
      <c r="C1123" s="2" t="s">
        <v>3315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3245</v>
      </c>
      <c r="J1123" s="2" t="s">
        <v>3246</v>
      </c>
      <c r="K1123" s="2">
        <v>96179412</v>
      </c>
      <c r="L1123" s="2" t="s">
        <v>461</v>
      </c>
      <c r="M1123" s="2" t="s">
        <v>40</v>
      </c>
      <c r="O1123" s="2" t="s">
        <v>3252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hidden="1" x14ac:dyDescent="0.2">
      <c r="A1124" s="2">
        <v>2025</v>
      </c>
      <c r="B1124" s="2">
        <v>5</v>
      </c>
      <c r="C1124" s="2" t="s">
        <v>3325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3227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hidden="1" x14ac:dyDescent="0.2">
      <c r="A1125" s="2">
        <v>2025</v>
      </c>
      <c r="B1125" s="2">
        <v>5</v>
      </c>
      <c r="C1125" s="2" t="s">
        <v>3325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3227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hidden="1" x14ac:dyDescent="0.2">
      <c r="A1126" s="2">
        <v>2025</v>
      </c>
      <c r="B1126" s="2">
        <v>5</v>
      </c>
      <c r="D1126" s="2" t="s">
        <v>1439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hidden="1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119</v>
      </c>
      <c r="AA1127" s="2" t="s">
        <v>3380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hidden="1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hidden="1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hidden="1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hidden="1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3227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3227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3227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3227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3227</v>
      </c>
      <c r="AA1137" s="2" t="s">
        <v>71</v>
      </c>
      <c r="AB1137" s="2" t="s">
        <v>1600</v>
      </c>
      <c r="AC1137" s="2" t="s">
        <v>1600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3227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3227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3227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3227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3227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3227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3227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3227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3227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3227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3227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3227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3227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119</v>
      </c>
      <c r="AA1152" s="2" t="s">
        <v>3380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hidden="1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hidden="1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hidden="1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hidden="1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3227</v>
      </c>
      <c r="AA1156" s="2" t="s">
        <v>75</v>
      </c>
      <c r="AB1156" s="2" t="s">
        <v>76</v>
      </c>
      <c r="AC1156" s="2" t="s">
        <v>77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3227</v>
      </c>
      <c r="AA1157" s="2" t="s">
        <v>96</v>
      </c>
      <c r="AB1157" s="2" t="s">
        <v>76</v>
      </c>
      <c r="AC1157" s="2" t="s">
        <v>93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hidden="1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3227</v>
      </c>
      <c r="AA1158" s="2" t="s">
        <v>75</v>
      </c>
      <c r="AB1158" s="2" t="s">
        <v>76</v>
      </c>
      <c r="AC1158" s="2" t="s">
        <v>77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3227</v>
      </c>
      <c r="AA1159" s="2" t="s">
        <v>96</v>
      </c>
      <c r="AB1159" s="2" t="s">
        <v>76</v>
      </c>
      <c r="AC1159" s="2" t="s">
        <v>93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hidden="1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hidden="1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hidden="1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hidden="1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hidden="1" x14ac:dyDescent="0.2">
      <c r="A1164" s="2">
        <v>2025</v>
      </c>
      <c r="B1164" s="2">
        <v>7</v>
      </c>
      <c r="C1164" s="2" t="s">
        <v>3470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3227</v>
      </c>
      <c r="AA1164" s="2" t="s">
        <v>46</v>
      </c>
      <c r="AB1164" s="2" t="s">
        <v>60</v>
      </c>
      <c r="AC1164" s="2" t="s">
        <v>57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hidden="1" x14ac:dyDescent="0.2">
      <c r="A1165" s="2">
        <v>2025</v>
      </c>
      <c r="B1165" s="2">
        <v>7</v>
      </c>
      <c r="C1165" s="2" t="s">
        <v>3470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3227</v>
      </c>
      <c r="AA1165" s="2" t="s">
        <v>46</v>
      </c>
      <c r="AB1165" s="2" t="s">
        <v>60</v>
      </c>
      <c r="AC1165" s="2" t="s">
        <v>57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hidden="1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3227</v>
      </c>
      <c r="AA1166" s="2" t="s">
        <v>46</v>
      </c>
      <c r="AB1166" s="2" t="s">
        <v>47</v>
      </c>
      <c r="AC1166" s="2" t="s">
        <v>57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3227</v>
      </c>
      <c r="AA1167" s="2" t="s">
        <v>46</v>
      </c>
      <c r="AB1167" s="2" t="s">
        <v>56</v>
      </c>
      <c r="AC1167" s="2" t="s">
        <v>57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3227</v>
      </c>
      <c r="AA1168" s="2" t="s">
        <v>46</v>
      </c>
      <c r="AB1168" s="2" t="s">
        <v>60</v>
      </c>
      <c r="AC1168" s="2" t="s">
        <v>57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3227</v>
      </c>
      <c r="AA1169" s="2" t="s">
        <v>46</v>
      </c>
      <c r="AB1169" s="2" t="s">
        <v>60</v>
      </c>
      <c r="AC1169" s="2" t="s">
        <v>57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3227</v>
      </c>
      <c r="AA1170" s="2" t="s">
        <v>46</v>
      </c>
      <c r="AB1170" s="2" t="s">
        <v>67</v>
      </c>
      <c r="AC1170" s="2" t="s">
        <v>57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169</v>
      </c>
      <c r="AA1171" s="2" t="s">
        <v>169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hidden="1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3227</v>
      </c>
      <c r="AA1172" s="2" t="s">
        <v>46</v>
      </c>
      <c r="AB1172" s="2" t="s">
        <v>47</v>
      </c>
      <c r="AC1172" s="2" t="s">
        <v>57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3227</v>
      </c>
      <c r="AA1173" s="2" t="s">
        <v>46</v>
      </c>
      <c r="AB1173" s="2" t="s">
        <v>47</v>
      </c>
      <c r="AC1173" s="2" t="s">
        <v>57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hidden="1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3227</v>
      </c>
      <c r="AA1174" s="2" t="s">
        <v>46</v>
      </c>
      <c r="AB1174" s="2" t="s">
        <v>47</v>
      </c>
      <c r="AC1174" s="2" t="s">
        <v>57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3227</v>
      </c>
      <c r="AA1175" s="2" t="s">
        <v>46</v>
      </c>
      <c r="AB1175" s="2" t="s">
        <v>47</v>
      </c>
      <c r="AC1175" s="2" t="s">
        <v>57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5"/>
        <v>0.25</v>
      </c>
      <c r="Z1176" s="2" t="s">
        <v>169</v>
      </c>
      <c r="AA1176" s="2" t="s">
        <v>169</v>
      </c>
      <c r="AF1176" s="2">
        <f t="shared" si="163"/>
        <v>0</v>
      </c>
      <c r="AJ1176" s="2">
        <f t="shared" si="164"/>
        <v>0</v>
      </c>
      <c r="AK1176" s="2">
        <f t="shared" si="166"/>
        <v>2</v>
      </c>
      <c r="AL1176" s="5">
        <f t="shared" si="167"/>
        <v>0.25</v>
      </c>
    </row>
    <row r="1177" spans="1:38" hidden="1" x14ac:dyDescent="0.2">
      <c r="A1177" s="2">
        <v>2025</v>
      </c>
      <c r="B1177" s="2">
        <v>7</v>
      </c>
      <c r="D1177" s="2" t="s">
        <v>278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117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hidden="1" x14ac:dyDescent="0.2">
      <c r="A1178" s="2">
        <v>2025</v>
      </c>
      <c r="B1178" s="2">
        <v>7</v>
      </c>
      <c r="C1178" s="2" t="s">
        <v>3400</v>
      </c>
      <c r="D1178" s="2" t="s">
        <v>278</v>
      </c>
      <c r="E1178" s="2" t="s">
        <v>38</v>
      </c>
      <c r="F1178" s="2" t="s">
        <v>39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3227</v>
      </c>
      <c r="AA1178" s="2" t="s">
        <v>46</v>
      </c>
      <c r="AB1178" s="2" t="s">
        <v>56</v>
      </c>
      <c r="AC1178" s="2" t="s">
        <v>57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hidden="1" x14ac:dyDescent="0.2">
      <c r="A1179" s="2">
        <v>2025</v>
      </c>
      <c r="B1179" s="2">
        <v>7</v>
      </c>
      <c r="C1179" s="2" t="s">
        <v>3400</v>
      </c>
      <c r="D1179" s="2" t="s">
        <v>278</v>
      </c>
      <c r="E1179" s="2" t="s">
        <v>38</v>
      </c>
      <c r="F1179" s="2" t="s">
        <v>39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3227</v>
      </c>
      <c r="AA1179" s="2" t="s">
        <v>46</v>
      </c>
      <c r="AB1179" s="2" t="s">
        <v>67</v>
      </c>
      <c r="AC1179" s="2" t="s">
        <v>57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278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119</v>
      </c>
      <c r="AA1180" s="2" t="s">
        <v>3380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hidden="1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hidden="1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hidden="1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3227</v>
      </c>
      <c r="AA1184" s="2" t="s">
        <v>75</v>
      </c>
      <c r="AB1184" s="2" t="s">
        <v>76</v>
      </c>
      <c r="AC1184" s="2" t="s">
        <v>77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3227</v>
      </c>
      <c r="AA1185" s="2" t="s">
        <v>96</v>
      </c>
      <c r="AB1185" s="2" t="s">
        <v>76</v>
      </c>
      <c r="AC1185" s="2" t="s">
        <v>93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hidden="1" x14ac:dyDescent="0.2">
      <c r="A1186" s="2">
        <v>2025</v>
      </c>
      <c r="B1186" s="2">
        <v>7</v>
      </c>
      <c r="C1186" s="2" t="s">
        <v>3414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3227</v>
      </c>
      <c r="AA1186" s="2" t="s">
        <v>46</v>
      </c>
      <c r="AB1186" s="2" t="s">
        <v>47</v>
      </c>
      <c r="AC1186" s="2" t="s">
        <v>57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hidden="1" x14ac:dyDescent="0.2">
      <c r="A1187" s="2">
        <v>2025</v>
      </c>
      <c r="B1187" s="2">
        <v>7</v>
      </c>
      <c r="C1187" s="2" t="s">
        <v>3414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3227</v>
      </c>
      <c r="AA1187" s="2" t="s">
        <v>46</v>
      </c>
      <c r="AB1187" s="2" t="s">
        <v>47</v>
      </c>
      <c r="AC1187" s="2" t="s">
        <v>57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hidden="1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hidden="1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3227</v>
      </c>
      <c r="AA1191" s="2" t="s">
        <v>46</v>
      </c>
      <c r="AB1191" s="2" t="s">
        <v>47</v>
      </c>
      <c r="AC1191" s="2" t="s">
        <v>57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3227</v>
      </c>
      <c r="AA1192" s="2" t="s">
        <v>46</v>
      </c>
      <c r="AB1192" s="2" t="s">
        <v>60</v>
      </c>
      <c r="AC1192" s="2" t="s">
        <v>57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3227</v>
      </c>
      <c r="AA1193" s="2" t="s">
        <v>87</v>
      </c>
      <c r="AB1193" s="2" t="s">
        <v>90</v>
      </c>
      <c r="AC1193" s="2" t="s">
        <v>84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hidden="1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3227</v>
      </c>
      <c r="AA1194" s="2" t="s">
        <v>87</v>
      </c>
      <c r="AB1194" s="2" t="s">
        <v>90</v>
      </c>
      <c r="AC1194" s="2" t="s">
        <v>84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hidden="1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3"/>
        <v>0</v>
      </c>
      <c r="AJ1195" s="2">
        <f t="shared" si="164"/>
        <v>0</v>
      </c>
    </row>
    <row r="1196" spans="1:38" hidden="1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3227</v>
      </c>
      <c r="AA1196" s="2" t="s">
        <v>71</v>
      </c>
      <c r="AB1196" s="2" t="s">
        <v>119</v>
      </c>
      <c r="AC1196" s="2" t="s">
        <v>119</v>
      </c>
      <c r="AF1196" s="2">
        <f t="shared" si="163"/>
        <v>0</v>
      </c>
      <c r="AJ1196" s="2">
        <f t="shared" si="164"/>
        <v>0</v>
      </c>
      <c r="AK1196" s="2">
        <f t="shared" ref="AK1196:AK1217" si="169">T1196-W1196</f>
        <v>99.75</v>
      </c>
      <c r="AL1196" s="5">
        <f t="shared" ref="AL1196:AL1216" si="170">(T1196-W1196)/T1196</f>
        <v>0.25</v>
      </c>
    </row>
    <row r="1197" spans="1:38" hidden="1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3227</v>
      </c>
      <c r="AA1197" s="2" t="s">
        <v>75</v>
      </c>
      <c r="AB1197" s="2" t="s">
        <v>76</v>
      </c>
      <c r="AC1197" s="2" t="s">
        <v>77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3227</v>
      </c>
      <c r="AA1198" s="2" t="s">
        <v>96</v>
      </c>
      <c r="AB1198" s="2" t="s">
        <v>76</v>
      </c>
      <c r="AC1198" s="2" t="s">
        <v>93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hidden="1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3227</v>
      </c>
      <c r="AA1199" s="2" t="s">
        <v>46</v>
      </c>
      <c r="AB1199" s="2" t="s">
        <v>47</v>
      </c>
      <c r="AC1199" s="2" t="s">
        <v>57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3227</v>
      </c>
      <c r="AA1200" s="2" t="s">
        <v>46</v>
      </c>
      <c r="AB1200" s="2" t="s">
        <v>56</v>
      </c>
      <c r="AC1200" s="2" t="s">
        <v>57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3227</v>
      </c>
      <c r="AA1201" s="2" t="s">
        <v>46</v>
      </c>
      <c r="AB1201" s="2" t="s">
        <v>56</v>
      </c>
      <c r="AC1201" s="2" t="s">
        <v>57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3227</v>
      </c>
      <c r="AA1202" s="2" t="s">
        <v>46</v>
      </c>
      <c r="AB1202" s="2" t="s">
        <v>56</v>
      </c>
      <c r="AC1202" s="2" t="s">
        <v>57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hidden="1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3227</v>
      </c>
      <c r="AA1203" s="2" t="s">
        <v>46</v>
      </c>
      <c r="AB1203" s="2" t="s">
        <v>56</v>
      </c>
      <c r="AC1203" s="2" t="s">
        <v>57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3227</v>
      </c>
      <c r="AA1204" s="2" t="s">
        <v>46</v>
      </c>
      <c r="AB1204" s="2" t="s">
        <v>60</v>
      </c>
      <c r="AC1204" s="2" t="s">
        <v>57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hidden="1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3227</v>
      </c>
      <c r="AA1206" s="2" t="s">
        <v>46</v>
      </c>
      <c r="AB1206" s="2" t="s">
        <v>60</v>
      </c>
      <c r="AC1206" s="2" t="s">
        <v>57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3227</v>
      </c>
      <c r="AA1207" s="2" t="s">
        <v>46</v>
      </c>
      <c r="AB1207" s="2" t="s">
        <v>56</v>
      </c>
      <c r="AC1207" s="2" t="s">
        <v>57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3227</v>
      </c>
      <c r="AA1208" s="2" t="s">
        <v>46</v>
      </c>
      <c r="AB1208" s="2" t="s">
        <v>56</v>
      </c>
      <c r="AC1208" s="2" t="s">
        <v>57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hidden="1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3227</v>
      </c>
      <c r="AA1209" s="2" t="s">
        <v>46</v>
      </c>
      <c r="AB1209" s="2" t="s">
        <v>56</v>
      </c>
      <c r="AC1209" s="2" t="s">
        <v>57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hidden="1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3227</v>
      </c>
      <c r="AA1210" s="2" t="s">
        <v>46</v>
      </c>
      <c r="AB1210" s="2" t="s">
        <v>56</v>
      </c>
      <c r="AC1210" s="2" t="s">
        <v>57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hidden="1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3227</v>
      </c>
      <c r="AA1211" s="2" t="s">
        <v>46</v>
      </c>
      <c r="AB1211" s="2" t="s">
        <v>56</v>
      </c>
      <c r="AC1211" s="2" t="s">
        <v>57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hidden="1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3227</v>
      </c>
      <c r="AA1212" s="2" t="s">
        <v>46</v>
      </c>
      <c r="AB1212" s="2" t="s">
        <v>56</v>
      </c>
      <c r="AC1212" s="2" t="s">
        <v>57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hidden="1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3227</v>
      </c>
      <c r="AA1213" s="2" t="s">
        <v>46</v>
      </c>
      <c r="AB1213" s="2" t="s">
        <v>56</v>
      </c>
      <c r="AC1213" s="2" t="s">
        <v>57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3227</v>
      </c>
      <c r="AA1214" s="2" t="s">
        <v>75</v>
      </c>
      <c r="AB1214" s="2" t="s">
        <v>76</v>
      </c>
      <c r="AC1214" s="2" t="s">
        <v>77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3227</v>
      </c>
      <c r="AA1215" s="2" t="s">
        <v>96</v>
      </c>
      <c r="AB1215" s="2" t="s">
        <v>76</v>
      </c>
      <c r="AC1215" s="2" t="s">
        <v>93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hidden="1" x14ac:dyDescent="0.2">
      <c r="A1216" s="2">
        <v>2025</v>
      </c>
      <c r="B1216" s="2">
        <v>7</v>
      </c>
      <c r="C1216" s="2" t="s">
        <v>3414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3231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hidden="1" x14ac:dyDescent="0.2">
      <c r="A1217" s="2">
        <v>2025</v>
      </c>
      <c r="B1217" s="2">
        <v>7</v>
      </c>
      <c r="C1217" s="2" t="s">
        <v>3424</v>
      </c>
      <c r="D1217" s="2" t="s">
        <v>3487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3"/>
        <v>0</v>
      </c>
      <c r="AJ1217" s="2">
        <f t="shared" si="164"/>
        <v>0</v>
      </c>
      <c r="AK1217" s="2">
        <f t="shared" si="169"/>
        <v>0</v>
      </c>
      <c r="AL1217" s="5">
        <v>0</v>
      </c>
    </row>
    <row r="1218" spans="1:38" hidden="1" x14ac:dyDescent="0.2">
      <c r="A1218" s="2">
        <v>2025</v>
      </c>
      <c r="B1218" s="2">
        <v>7</v>
      </c>
      <c r="C1218" s="2" t="s">
        <v>3400</v>
      </c>
      <c r="D1218" s="2" t="s">
        <v>3487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hidden="1" x14ac:dyDescent="0.2">
      <c r="A1219" s="2">
        <v>2025</v>
      </c>
      <c r="B1219" s="2">
        <v>7</v>
      </c>
      <c r="C1219" s="2" t="s">
        <v>3424</v>
      </c>
      <c r="D1219" s="2" t="s">
        <v>3487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>
        <v>0</v>
      </c>
    </row>
    <row r="1220" spans="1:38" hidden="1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hidden="1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hidden="1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hidden="1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3227</v>
      </c>
      <c r="AA1223" s="2" t="s">
        <v>75</v>
      </c>
      <c r="AB1223" s="2" t="s">
        <v>76</v>
      </c>
      <c r="AC1223" s="2" t="s">
        <v>77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3227</v>
      </c>
      <c r="AA1224" s="2" t="s">
        <v>75</v>
      </c>
      <c r="AB1224" s="2" t="s">
        <v>76</v>
      </c>
      <c r="AC1224" s="2" t="s">
        <v>77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3227</v>
      </c>
      <c r="AA1225" s="2" t="s">
        <v>96</v>
      </c>
      <c r="AB1225" s="2" t="s">
        <v>76</v>
      </c>
      <c r="AC1225" s="2" t="s">
        <v>93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hidden="1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3227</v>
      </c>
      <c r="AA1226" s="2" t="s">
        <v>75</v>
      </c>
      <c r="AB1226" s="2" t="s">
        <v>76</v>
      </c>
      <c r="AC1226" s="2" t="s">
        <v>77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3227</v>
      </c>
      <c r="AA1227" s="2" t="s">
        <v>96</v>
      </c>
      <c r="AB1227" s="2" t="s">
        <v>76</v>
      </c>
      <c r="AC1227" s="2" t="s">
        <v>93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hidden="1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3227</v>
      </c>
      <c r="AA1228" s="2" t="s">
        <v>46</v>
      </c>
      <c r="AB1228" s="2" t="s">
        <v>47</v>
      </c>
      <c r="AC1228" s="2" t="s">
        <v>57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3227</v>
      </c>
      <c r="AA1229" s="2" t="s">
        <v>46</v>
      </c>
      <c r="AB1229" s="2" t="s">
        <v>56</v>
      </c>
      <c r="AC1229" s="2" t="s">
        <v>57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3227</v>
      </c>
      <c r="AA1230" s="2" t="s">
        <v>46</v>
      </c>
      <c r="AB1230" s="2" t="s">
        <v>90</v>
      </c>
      <c r="AC1230" s="2" t="s">
        <v>57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hidden="1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3227</v>
      </c>
      <c r="AA1231" s="2" t="s">
        <v>87</v>
      </c>
      <c r="AB1231" s="2" t="s">
        <v>119</v>
      </c>
      <c r="AC1231" s="2" t="s">
        <v>166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hidden="1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3227</v>
      </c>
      <c r="AA1232" s="2" t="s">
        <v>87</v>
      </c>
      <c r="AB1232" s="2" t="s">
        <v>119</v>
      </c>
      <c r="AC1232" s="2" t="s">
        <v>166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hidden="1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3227</v>
      </c>
      <c r="AA1233" s="2" t="s">
        <v>155</v>
      </c>
      <c r="AB1233" s="2" t="s">
        <v>154</v>
      </c>
      <c r="AC1233" s="2" t="s">
        <v>152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hidden="1" x14ac:dyDescent="0.2">
      <c r="A1234" s="2">
        <v>2025</v>
      </c>
      <c r="B1234" s="2">
        <v>7</v>
      </c>
      <c r="C1234" s="2" t="s">
        <v>3414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75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71"/>
        <v>0</v>
      </c>
      <c r="AJ1234" s="2">
        <f t="shared" si="172"/>
        <v>0</v>
      </c>
      <c r="AK1234" s="2">
        <f t="shared" si="173"/>
        <v>371.36999999999995</v>
      </c>
      <c r="AL1234" s="5">
        <f t="shared" si="174"/>
        <v>0.53741516287281299</v>
      </c>
    </row>
    <row r="1235" spans="1:38" hidden="1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3227</v>
      </c>
      <c r="AA1235" s="2" t="s">
        <v>46</v>
      </c>
      <c r="AB1235" s="2" t="s">
        <v>47</v>
      </c>
      <c r="AC1235" s="2" t="s">
        <v>57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3227</v>
      </c>
      <c r="AA1236" s="2" t="s">
        <v>46</v>
      </c>
      <c r="AB1236" s="2" t="s">
        <v>47</v>
      </c>
      <c r="AC1236" s="2" t="s">
        <v>57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3227</v>
      </c>
      <c r="AA1237" s="2" t="s">
        <v>46</v>
      </c>
      <c r="AB1237" s="2" t="s">
        <v>47</v>
      </c>
      <c r="AC1237" s="2" t="s">
        <v>57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3227</v>
      </c>
      <c r="AA1238" s="2" t="s">
        <v>46</v>
      </c>
      <c r="AB1238" s="2" t="s">
        <v>56</v>
      </c>
      <c r="AC1238" s="2" t="s">
        <v>57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3227</v>
      </c>
      <c r="AA1239" s="2" t="s">
        <v>46</v>
      </c>
      <c r="AB1239" s="2" t="s">
        <v>60</v>
      </c>
      <c r="AC1239" s="2" t="s">
        <v>57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3227</v>
      </c>
      <c r="AA1240" s="2" t="s">
        <v>46</v>
      </c>
      <c r="AB1240" s="2" t="s">
        <v>60</v>
      </c>
      <c r="AC1240" s="2" t="s">
        <v>57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117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hidden="1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119</v>
      </c>
      <c r="AA1242" s="2" t="s">
        <v>3380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hidden="1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3227</v>
      </c>
      <c r="AA1243" s="2" t="s">
        <v>71</v>
      </c>
      <c r="AB1243" s="2" t="s">
        <v>119</v>
      </c>
      <c r="AC1243" s="2" t="s">
        <v>119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hidden="1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3227</v>
      </c>
      <c r="AA1244" s="2" t="s">
        <v>46</v>
      </c>
      <c r="AB1244" s="2" t="s">
        <v>56</v>
      </c>
      <c r="AC1244" s="2" t="s">
        <v>57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3227</v>
      </c>
      <c r="AA1245" s="2" t="s">
        <v>46</v>
      </c>
      <c r="AB1245" s="2" t="s">
        <v>60</v>
      </c>
      <c r="AC1245" s="2" t="s">
        <v>57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3227</v>
      </c>
      <c r="AA1246" s="2" t="s">
        <v>46</v>
      </c>
      <c r="AB1246" s="2" t="s">
        <v>90</v>
      </c>
      <c r="AC1246" s="2" t="s">
        <v>57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3227</v>
      </c>
      <c r="AA1247" s="2" t="s">
        <v>46</v>
      </c>
      <c r="AB1247" s="2" t="s">
        <v>67</v>
      </c>
      <c r="AC1247" s="2" t="s">
        <v>57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hidden="1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3227</v>
      </c>
      <c r="AA1250" s="2" t="s">
        <v>71</v>
      </c>
      <c r="AB1250" s="2" t="s">
        <v>1600</v>
      </c>
      <c r="AC1250" s="2" t="s">
        <v>1600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3227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hidden="1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117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hidden="1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hidden="1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hidden="1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3227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hidden="1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3231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hidden="1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hidden="1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hidden="1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hidden="1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hidden="1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3227</v>
      </c>
      <c r="AA1262" s="2" t="s">
        <v>578</v>
      </c>
      <c r="AB1262" s="2" t="s">
        <v>119</v>
      </c>
      <c r="AC1262" s="2" t="s">
        <v>1327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hidden="1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3227</v>
      </c>
      <c r="AA1263" s="2" t="s">
        <v>155</v>
      </c>
      <c r="AB1263" s="2" t="s">
        <v>3403</v>
      </c>
      <c r="AC1263" s="2" t="s">
        <v>1327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3227</v>
      </c>
      <c r="AA1264" s="2" t="s">
        <v>155</v>
      </c>
      <c r="AB1264" s="2" t="s">
        <v>3403</v>
      </c>
      <c r="AC1264" s="2" t="s">
        <v>1327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hidden="1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3227</v>
      </c>
      <c r="AA1265" s="2" t="s">
        <v>155</v>
      </c>
      <c r="AB1265" s="2" t="s">
        <v>3403</v>
      </c>
      <c r="AC1265" s="2" t="s">
        <v>1327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hidden="1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3227</v>
      </c>
      <c r="AA1266" s="2" t="s">
        <v>155</v>
      </c>
      <c r="AB1266" s="2" t="s">
        <v>3403</v>
      </c>
      <c r="AC1266" s="2" t="s">
        <v>1327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hidden="1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hidden="1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hidden="1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hidden="1" x14ac:dyDescent="0.2">
      <c r="A1272" s="2">
        <v>2025</v>
      </c>
      <c r="B1272" s="2">
        <v>7</v>
      </c>
      <c r="C1272" s="2" t="s">
        <v>3424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117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hidden="1" x14ac:dyDescent="0.2">
      <c r="A1273" s="2">
        <v>2025</v>
      </c>
      <c r="B1273" s="2">
        <v>7</v>
      </c>
      <c r="C1273" s="2" t="s">
        <v>3424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hidden="1" x14ac:dyDescent="0.2">
      <c r="A1274" s="2">
        <v>2025</v>
      </c>
      <c r="B1274" s="2">
        <v>7</v>
      </c>
      <c r="C1274" s="2" t="s">
        <v>3424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hidden="1" x14ac:dyDescent="0.2">
      <c r="A1275" s="2">
        <v>2025</v>
      </c>
      <c r="B1275" s="2">
        <v>7</v>
      </c>
      <c r="C1275" s="2" t="s">
        <v>3424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hidden="1" x14ac:dyDescent="0.2">
      <c r="A1276" s="2">
        <v>2025</v>
      </c>
      <c r="B1276" s="2">
        <v>7</v>
      </c>
      <c r="C1276" s="2" t="s">
        <v>3316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119</v>
      </c>
      <c r="AA1276" s="2" t="s">
        <v>3380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hidden="1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3227</v>
      </c>
      <c r="AA1277" s="2" t="s">
        <v>46</v>
      </c>
      <c r="AB1277" s="2" t="s">
        <v>60</v>
      </c>
      <c r="AC1277" s="2" t="s">
        <v>3332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hidden="1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3227</v>
      </c>
      <c r="AA1278" s="2" t="s">
        <v>46</v>
      </c>
      <c r="AB1278" s="2" t="s">
        <v>60</v>
      </c>
      <c r="AC1278" s="2" t="s">
        <v>3332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hidden="1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3401</v>
      </c>
    </row>
    <row r="1280" spans="1:38" hidden="1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3227</v>
      </c>
      <c r="AA1280" s="2" t="s">
        <v>46</v>
      </c>
      <c r="AB1280" s="2" t="s">
        <v>60</v>
      </c>
      <c r="AC1280" s="2" t="s">
        <v>3332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hidden="1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3227</v>
      </c>
      <c r="AA1281" s="2" t="s">
        <v>46</v>
      </c>
      <c r="AB1281" s="2" t="s">
        <v>60</v>
      </c>
      <c r="AC1281" s="2" t="s">
        <v>3332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hidden="1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3227</v>
      </c>
      <c r="AA1282" s="2" t="s">
        <v>75</v>
      </c>
      <c r="AB1282" s="2" t="s">
        <v>76</v>
      </c>
      <c r="AC1282" s="2" t="s">
        <v>77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3227</v>
      </c>
      <c r="AA1283" s="2" t="s">
        <v>96</v>
      </c>
      <c r="AB1283" s="2" t="s">
        <v>76</v>
      </c>
      <c r="AC1283" s="2" t="s">
        <v>93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hidden="1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hidden="1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hidden="1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119</v>
      </c>
      <c r="AA1286" s="2" t="s">
        <v>3380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hidden="1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hidden="1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hidden="1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117</v>
      </c>
      <c r="AA1290" s="2" t="s">
        <v>118</v>
      </c>
      <c r="AB1290" s="2" t="s">
        <v>119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hidden="1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hidden="1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hidden="1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119</v>
      </c>
      <c r="AA1293" s="2" t="s">
        <v>3380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hidden="1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117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hidden="1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3227</v>
      </c>
      <c r="AA1295" s="2" t="s">
        <v>46</v>
      </c>
      <c r="AB1295" s="2" t="s">
        <v>47</v>
      </c>
      <c r="AC1295" s="2" t="s">
        <v>57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hidden="1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3227</v>
      </c>
      <c r="AA1296" s="2" t="s">
        <v>46</v>
      </c>
      <c r="AB1296" s="2" t="s">
        <v>47</v>
      </c>
      <c r="AC1296" s="2" t="s">
        <v>57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3227</v>
      </c>
      <c r="AA1297" s="2" t="s">
        <v>46</v>
      </c>
      <c r="AB1297" s="2" t="s">
        <v>56</v>
      </c>
      <c r="AC1297" s="2" t="s">
        <v>57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3227</v>
      </c>
      <c r="AA1298" s="2" t="s">
        <v>46</v>
      </c>
      <c r="AB1298" s="2" t="s">
        <v>60</v>
      </c>
      <c r="AC1298" s="2" t="s">
        <v>57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hidden="1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hidden="1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3227</v>
      </c>
      <c r="AA1301" s="2" t="s">
        <v>75</v>
      </c>
      <c r="AB1301" s="2" t="s">
        <v>76</v>
      </c>
      <c r="AC1301" s="2" t="s">
        <v>77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3227</v>
      </c>
      <c r="AA1302" s="2" t="s">
        <v>96</v>
      </c>
      <c r="AB1302" s="2" t="s">
        <v>76</v>
      </c>
      <c r="AC1302" s="2" t="s">
        <v>93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hidden="1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117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hidden="1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hidden="1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hidden="1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3227</v>
      </c>
      <c r="AA1306" s="2" t="s">
        <v>75</v>
      </c>
      <c r="AB1306" s="2" t="s">
        <v>76</v>
      </c>
      <c r="AC1306" s="2" t="s">
        <v>77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3227</v>
      </c>
      <c r="AA1307" s="2" t="s">
        <v>96</v>
      </c>
      <c r="AB1307" s="2" t="s">
        <v>76</v>
      </c>
      <c r="AC1307" s="2" t="s">
        <v>93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hidden="1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3227</v>
      </c>
      <c r="AA1309" s="2" t="s">
        <v>75</v>
      </c>
      <c r="AB1309" s="2" t="s">
        <v>76</v>
      </c>
      <c r="AC1309" s="2" t="s">
        <v>77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3227</v>
      </c>
      <c r="AA1310" s="2" t="s">
        <v>96</v>
      </c>
      <c r="AB1310" s="2" t="s">
        <v>76</v>
      </c>
      <c r="AC1310" s="2" t="s">
        <v>93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hidden="1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hidden="1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hidden="1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3227</v>
      </c>
      <c r="AA1313" s="2" t="s">
        <v>75</v>
      </c>
      <c r="AB1313" s="2" t="s">
        <v>76</v>
      </c>
      <c r="AC1313" s="2" t="s">
        <v>77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3227</v>
      </c>
      <c r="AA1314" s="2" t="s">
        <v>96</v>
      </c>
      <c r="AB1314" s="2" t="s">
        <v>76</v>
      </c>
      <c r="AC1314" s="2" t="s">
        <v>93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hidden="1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117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hidden="1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117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hidden="1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3227</v>
      </c>
      <c r="AA1317" s="2" t="s">
        <v>75</v>
      </c>
      <c r="AB1317" s="2" t="s">
        <v>76</v>
      </c>
      <c r="AC1317" s="2" t="s">
        <v>77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hidden="1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hidden="1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3227</v>
      </c>
      <c r="AA1320" s="2" t="s">
        <v>96</v>
      </c>
      <c r="AB1320" s="2" t="s">
        <v>76</v>
      </c>
      <c r="AC1320" s="2" t="s">
        <v>93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hidden="1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117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hidden="1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hidden="1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hidden="1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1"/>
        <v>0</v>
      </c>
      <c r="AJ1324" s="2">
        <f t="shared" si="182"/>
        <v>0</v>
      </c>
    </row>
    <row r="1325" spans="1:38" hidden="1" x14ac:dyDescent="0.2">
      <c r="A1325" s="2">
        <v>2025</v>
      </c>
      <c r="B1325" s="2">
        <v>7</v>
      </c>
      <c r="C1325" s="2" t="s">
        <v>3399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3227</v>
      </c>
      <c r="AA1325" s="2" t="s">
        <v>75</v>
      </c>
      <c r="AB1325" s="2" t="s">
        <v>76</v>
      </c>
      <c r="AC1325" s="2" t="s">
        <v>1038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hidden="1" x14ac:dyDescent="0.2">
      <c r="A1326" s="2">
        <v>2025</v>
      </c>
      <c r="B1326" s="2">
        <v>7</v>
      </c>
      <c r="C1326" s="2" t="s">
        <v>3399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3227</v>
      </c>
      <c r="AA1326" s="2" t="s">
        <v>75</v>
      </c>
      <c r="AB1326" s="2" t="s">
        <v>76</v>
      </c>
      <c r="AC1326" s="2" t="s">
        <v>1038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3227</v>
      </c>
      <c r="AA1327" s="2" t="s">
        <v>96</v>
      </c>
      <c r="AB1327" s="2" t="s">
        <v>76</v>
      </c>
      <c r="AC1327" s="2" t="s">
        <v>93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hidden="1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3227</v>
      </c>
      <c r="AA1329" s="2" t="s">
        <v>46</v>
      </c>
      <c r="AB1329" s="2" t="s">
        <v>60</v>
      </c>
      <c r="AC1329" s="2" t="s">
        <v>3332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3227</v>
      </c>
      <c r="AA1330" s="2" t="s">
        <v>46</v>
      </c>
      <c r="AB1330" s="2" t="s">
        <v>60</v>
      </c>
      <c r="AC1330" s="2" t="s">
        <v>3332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109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104</v>
      </c>
      <c r="AA1332" s="2" t="s">
        <v>1574</v>
      </c>
      <c r="AB1332" s="2" t="s">
        <v>388</v>
      </c>
      <c r="AC1332" s="2" t="s">
        <v>1327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hidden="1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hidden="1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hidden="1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hidden="1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7"/>
        <v>-0.2</v>
      </c>
      <c r="Z1337" s="2" t="s">
        <v>169</v>
      </c>
      <c r="AA1337" s="2" t="s">
        <v>169</v>
      </c>
      <c r="AF1337" s="2">
        <f t="shared" si="181"/>
        <v>0</v>
      </c>
      <c r="AJ1337" s="2">
        <f t="shared" si="182"/>
        <v>0</v>
      </c>
      <c r="AK1337" s="2">
        <f t="shared" si="185"/>
        <v>-1</v>
      </c>
      <c r="AL1337" s="5">
        <f t="shared" si="186"/>
        <v>-0.2</v>
      </c>
    </row>
    <row r="1338" spans="1:38" hidden="1" x14ac:dyDescent="0.2">
      <c r="A1338" s="2">
        <v>2025</v>
      </c>
      <c r="B1338" s="2">
        <v>7</v>
      </c>
      <c r="C1338" s="2" t="s">
        <v>3316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hidden="1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hidden="1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3227</v>
      </c>
      <c r="AA1341" s="2" t="s">
        <v>46</v>
      </c>
      <c r="AB1341" s="2" t="s">
        <v>47</v>
      </c>
      <c r="AC1341" s="2" t="s">
        <v>57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3227</v>
      </c>
      <c r="AA1342" s="2" t="s">
        <v>46</v>
      </c>
      <c r="AB1342" s="2" t="s">
        <v>67</v>
      </c>
      <c r="AC1342" s="2" t="s">
        <v>57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7"/>
        <v>0.29411764705882354</v>
      </c>
      <c r="Z1343" s="2" t="s">
        <v>169</v>
      </c>
      <c r="AA1343" s="2" t="s">
        <v>169</v>
      </c>
      <c r="AF1343" s="2">
        <f t="shared" si="181"/>
        <v>0</v>
      </c>
      <c r="AJ1343" s="2">
        <f t="shared" si="182"/>
        <v>0</v>
      </c>
      <c r="AK1343" s="2">
        <f t="shared" si="185"/>
        <v>2.5</v>
      </c>
      <c r="AL1343" s="5">
        <f t="shared" si="186"/>
        <v>0.29411764705882354</v>
      </c>
    </row>
    <row r="1344" spans="1:38" hidden="1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119</v>
      </c>
      <c r="AA1344" s="2" t="s">
        <v>492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hidden="1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3227</v>
      </c>
      <c r="AA1345" s="2" t="s">
        <v>71</v>
      </c>
      <c r="AB1345" s="2" t="s">
        <v>119</v>
      </c>
      <c r="AC1345" s="2" t="s">
        <v>119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119</v>
      </c>
      <c r="AA1346" s="2" t="s">
        <v>3380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hidden="1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3227</v>
      </c>
      <c r="AA1347" s="2" t="s">
        <v>75</v>
      </c>
      <c r="AB1347" s="2" t="s">
        <v>76</v>
      </c>
      <c r="AC1347" s="2" t="s">
        <v>77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169</v>
      </c>
      <c r="AA1348" s="2" t="s">
        <v>169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hidden="1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3227</v>
      </c>
      <c r="AA1349" s="2" t="s">
        <v>96</v>
      </c>
      <c r="AB1349" s="2" t="s">
        <v>76</v>
      </c>
      <c r="AC1349" s="2" t="s">
        <v>93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hidden="1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117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hidden="1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hidden="1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hidden="1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hidden="1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hidden="1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hidden="1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hidden="1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3227</v>
      </c>
      <c r="AA1357" s="2" t="s">
        <v>46</v>
      </c>
      <c r="AB1357" s="2" t="s">
        <v>67</v>
      </c>
      <c r="AC1357" s="2" t="s">
        <v>57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3134</v>
      </c>
      <c r="L1358" s="2" t="s">
        <v>177</v>
      </c>
      <c r="M1358" s="2" t="s">
        <v>41</v>
      </c>
      <c r="O1358" s="2" t="s">
        <v>3139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3227</v>
      </c>
      <c r="AA1358" s="2" t="s">
        <v>46</v>
      </c>
      <c r="AB1358" s="2" t="s">
        <v>47</v>
      </c>
      <c r="AC1358" s="2" t="s">
        <v>57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3134</v>
      </c>
      <c r="L1359" s="2" t="s">
        <v>177</v>
      </c>
      <c r="M1359" s="2" t="s">
        <v>41</v>
      </c>
      <c r="O1359" s="2" t="s">
        <v>3138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3227</v>
      </c>
      <c r="AA1359" s="2" t="s">
        <v>46</v>
      </c>
      <c r="AB1359" s="2" t="s">
        <v>60</v>
      </c>
      <c r="AC1359" s="2" t="s">
        <v>57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hidden="1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3227</v>
      </c>
      <c r="AA1361" s="2" t="s">
        <v>46</v>
      </c>
      <c r="AB1361" s="2" t="s">
        <v>56</v>
      </c>
      <c r="AC1361" s="2" t="s">
        <v>57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hidden="1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3227</v>
      </c>
      <c r="AA1362" s="2" t="s">
        <v>46</v>
      </c>
      <c r="AB1362" s="2" t="s">
        <v>56</v>
      </c>
      <c r="AC1362" s="2" t="s">
        <v>57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hidden="1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3227</v>
      </c>
      <c r="AA1363" s="2" t="s">
        <v>46</v>
      </c>
      <c r="AB1363" s="2" t="s">
        <v>56</v>
      </c>
      <c r="AC1363" s="2" t="s">
        <v>57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hidden="1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3227</v>
      </c>
      <c r="AA1364" s="2" t="s">
        <v>46</v>
      </c>
      <c r="AB1364" s="2" t="s">
        <v>56</v>
      </c>
      <c r="AC1364" s="2" t="s">
        <v>57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hidden="1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3227</v>
      </c>
      <c r="AA1365" s="2" t="s">
        <v>46</v>
      </c>
      <c r="AB1365" s="2" t="s">
        <v>56</v>
      </c>
      <c r="AC1365" s="2" t="s">
        <v>57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3227</v>
      </c>
      <c r="AA1366" s="2" t="s">
        <v>46</v>
      </c>
      <c r="AB1366" s="2" t="s">
        <v>60</v>
      </c>
      <c r="AC1366" s="2" t="s">
        <v>57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3227</v>
      </c>
      <c r="AA1367" s="2" t="s">
        <v>46</v>
      </c>
      <c r="AB1367" s="2" t="s">
        <v>60</v>
      </c>
      <c r="AC1367" s="2" t="s">
        <v>57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3227</v>
      </c>
      <c r="AA1368" s="2" t="s">
        <v>71</v>
      </c>
      <c r="AB1368" s="2" t="s">
        <v>119</v>
      </c>
      <c r="AC1368" s="2" t="s">
        <v>119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3227</v>
      </c>
      <c r="AA1369" s="2" t="s">
        <v>71</v>
      </c>
      <c r="AB1369" s="2" t="s">
        <v>119</v>
      </c>
      <c r="AC1369" s="2" t="s">
        <v>119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3227</v>
      </c>
      <c r="AA1370" s="2" t="s">
        <v>71</v>
      </c>
      <c r="AB1370" s="2" t="s">
        <v>119</v>
      </c>
      <c r="AC1370" s="2" t="s">
        <v>119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3227</v>
      </c>
      <c r="AA1371" s="2" t="s">
        <v>71</v>
      </c>
      <c r="AB1371" s="2" t="s">
        <v>119</v>
      </c>
      <c r="AC1371" s="2" t="s">
        <v>119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hidden="1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3002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3227</v>
      </c>
      <c r="AA1372" s="2" t="s">
        <v>46</v>
      </c>
      <c r="AB1372" s="2" t="s">
        <v>60</v>
      </c>
      <c r="AC1372" s="2" t="s">
        <v>57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3002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3227</v>
      </c>
      <c r="AA1373" s="2" t="s">
        <v>46</v>
      </c>
      <c r="AB1373" s="2" t="s">
        <v>60</v>
      </c>
      <c r="AC1373" s="2" t="s">
        <v>57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hidden="1" x14ac:dyDescent="0.2">
      <c r="A1374" s="2">
        <v>2025</v>
      </c>
      <c r="B1374" s="2">
        <v>7</v>
      </c>
      <c r="D1374" s="2" t="s">
        <v>1590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117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hidden="1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3401</v>
      </c>
    </row>
    <row r="1376" spans="1:38" hidden="1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3227</v>
      </c>
      <c r="AA1376" s="2" t="s">
        <v>46</v>
      </c>
      <c r="AB1376" s="2" t="s">
        <v>60</v>
      </c>
      <c r="AC1376" s="2" t="s">
        <v>3332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hidden="1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3227</v>
      </c>
      <c r="AA1377" s="2" t="s">
        <v>46</v>
      </c>
      <c r="AB1377" s="2" t="s">
        <v>60</v>
      </c>
      <c r="AC1377" s="2" t="s">
        <v>3332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hidden="1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3227</v>
      </c>
      <c r="AA1378" s="2" t="s">
        <v>75</v>
      </c>
      <c r="AB1378" s="2" t="s">
        <v>76</v>
      </c>
      <c r="AC1378" s="2" t="s">
        <v>77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hidden="1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3227</v>
      </c>
      <c r="AA1379" s="2" t="s">
        <v>96</v>
      </c>
      <c r="AB1379" s="2" t="s">
        <v>76</v>
      </c>
      <c r="AC1379" s="2" t="s">
        <v>93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hidden="1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hidden="1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hidden="1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3227</v>
      </c>
      <c r="AA1382" s="2" t="s">
        <v>71</v>
      </c>
      <c r="AB1382" s="2" t="s">
        <v>1600</v>
      </c>
      <c r="AC1382" s="2" t="s">
        <v>1600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3227</v>
      </c>
      <c r="AA1383" s="2" t="s">
        <v>71</v>
      </c>
      <c r="AB1383" s="2" t="s">
        <v>119</v>
      </c>
      <c r="AC1383" s="2" t="s">
        <v>119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3227</v>
      </c>
      <c r="AA1384" s="2" t="s">
        <v>71</v>
      </c>
      <c r="AB1384" s="2" t="s">
        <v>119</v>
      </c>
      <c r="AC1384" s="2" t="s">
        <v>119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hidden="1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hidden="1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3227</v>
      </c>
      <c r="AA1388" s="2" t="s">
        <v>75</v>
      </c>
      <c r="AB1388" s="2" t="s">
        <v>76</v>
      </c>
      <c r="AC1388" s="2" t="s">
        <v>77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3227</v>
      </c>
      <c r="AA1389" s="2" t="s">
        <v>75</v>
      </c>
      <c r="AB1389" s="2" t="s">
        <v>76</v>
      </c>
      <c r="AC1389" s="2" t="s">
        <v>77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3227</v>
      </c>
      <c r="AA1390" s="2" t="s">
        <v>75</v>
      </c>
      <c r="AB1390" s="2" t="s">
        <v>76</v>
      </c>
      <c r="AC1390" s="2" t="s">
        <v>77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88"/>
        <v>0</v>
      </c>
      <c r="AJ1391" s="2">
        <f t="shared" si="189"/>
        <v>0</v>
      </c>
    </row>
    <row r="1392" spans="1:38" hidden="1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3227</v>
      </c>
      <c r="AA1392" s="2" t="s">
        <v>96</v>
      </c>
      <c r="AB1392" s="2" t="s">
        <v>76</v>
      </c>
      <c r="AC1392" s="2" t="s">
        <v>93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hidden="1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3227</v>
      </c>
      <c r="AA1393" s="2" t="s">
        <v>75</v>
      </c>
      <c r="AB1393" s="2" t="s">
        <v>76</v>
      </c>
      <c r="AC1393" s="2" t="s">
        <v>77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3227</v>
      </c>
      <c r="AA1394" s="2" t="s">
        <v>96</v>
      </c>
      <c r="AB1394" s="2" t="s">
        <v>76</v>
      </c>
      <c r="AC1394" s="2" t="s">
        <v>93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hidden="1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3227</v>
      </c>
      <c r="AA1397" s="2" t="s">
        <v>75</v>
      </c>
      <c r="AB1397" s="2" t="s">
        <v>76</v>
      </c>
      <c r="AC1397" s="2" t="s">
        <v>77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hidden="1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3227</v>
      </c>
      <c r="AA1400" s="2" t="s">
        <v>96</v>
      </c>
      <c r="AB1400" s="2" t="s">
        <v>76</v>
      </c>
      <c r="AC1400" s="2" t="s">
        <v>93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hidden="1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119</v>
      </c>
      <c r="AA1401" s="2" t="s">
        <v>3380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3227</v>
      </c>
      <c r="AA1402" s="2" t="s">
        <v>75</v>
      </c>
      <c r="AB1402" s="2" t="s">
        <v>76</v>
      </c>
      <c r="AC1402" s="2" t="s">
        <v>77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3227</v>
      </c>
      <c r="AA1403" s="2" t="s">
        <v>96</v>
      </c>
      <c r="AB1403" s="2" t="s">
        <v>76</v>
      </c>
      <c r="AC1403" s="2" t="s">
        <v>93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hidden="1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3227</v>
      </c>
      <c r="AA1404" s="2" t="s">
        <v>75</v>
      </c>
      <c r="AB1404" s="2" t="s">
        <v>76</v>
      </c>
      <c r="AC1404" s="2" t="s">
        <v>77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3227</v>
      </c>
      <c r="AA1405" s="2" t="s">
        <v>75</v>
      </c>
      <c r="AB1405" s="2" t="s">
        <v>76</v>
      </c>
      <c r="AC1405" s="2" t="s">
        <v>77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3227</v>
      </c>
      <c r="AA1406" s="2" t="s">
        <v>96</v>
      </c>
      <c r="AB1406" s="2" t="s">
        <v>76</v>
      </c>
      <c r="AC1406" s="2" t="s">
        <v>93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hidden="1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3231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117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hidden="1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3227</v>
      </c>
      <c r="AA1409" s="2" t="s">
        <v>71</v>
      </c>
      <c r="AB1409" s="2" t="s">
        <v>1600</v>
      </c>
      <c r="AC1409" s="2" t="s">
        <v>1600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hidden="1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3227</v>
      </c>
      <c r="AA1410" s="2" t="s">
        <v>46</v>
      </c>
      <c r="AB1410" s="2" t="s">
        <v>47</v>
      </c>
      <c r="AC1410" s="2" t="s">
        <v>57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hidden="1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3227</v>
      </c>
      <c r="AA1411" s="2" t="s">
        <v>46</v>
      </c>
      <c r="AB1411" s="2" t="s">
        <v>60</v>
      </c>
      <c r="AC1411" s="2" t="s">
        <v>57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3227</v>
      </c>
      <c r="AA1412" s="2" t="s">
        <v>75</v>
      </c>
      <c r="AB1412" s="2" t="s">
        <v>76</v>
      </c>
      <c r="AC1412" s="2" t="s">
        <v>77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3227</v>
      </c>
      <c r="AA1413" s="2" t="s">
        <v>96</v>
      </c>
      <c r="AB1413" s="2" t="s">
        <v>76</v>
      </c>
      <c r="AC1413" s="2" t="s">
        <v>93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hidden="1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3227</v>
      </c>
      <c r="AA1414" s="2" t="s">
        <v>71</v>
      </c>
      <c r="AB1414" s="2" t="s">
        <v>1600</v>
      </c>
      <c r="AC1414" s="2" t="s">
        <v>1600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3227</v>
      </c>
      <c r="AA1415" s="2" t="s">
        <v>71</v>
      </c>
      <c r="AB1415" s="2" t="s">
        <v>119</v>
      </c>
      <c r="AC1415" s="2" t="s">
        <v>119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3227</v>
      </c>
      <c r="AA1416" s="2" t="s">
        <v>71</v>
      </c>
      <c r="AB1416" s="2" t="s">
        <v>119</v>
      </c>
      <c r="AC1416" s="2" t="s">
        <v>119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1275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hidden="1" x14ac:dyDescent="0.2">
      <c r="A1418" s="2">
        <v>2025</v>
      </c>
      <c r="B1418" s="2">
        <v>7</v>
      </c>
      <c r="D1418" s="2" t="s">
        <v>1275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hidden="1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3227</v>
      </c>
      <c r="AA1419" s="2" t="s">
        <v>46</v>
      </c>
      <c r="AB1419" s="2" t="s">
        <v>47</v>
      </c>
      <c r="AC1419" s="2" t="s">
        <v>57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117</v>
      </c>
      <c r="AA1420" s="2" t="s">
        <v>317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hidden="1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3227</v>
      </c>
      <c r="AA1421" s="2" t="s">
        <v>71</v>
      </c>
      <c r="AB1421" s="2" t="s">
        <v>119</v>
      </c>
      <c r="AC1421" s="2" t="s">
        <v>119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hidden="1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3227</v>
      </c>
      <c r="AA1422" s="2" t="s">
        <v>46</v>
      </c>
      <c r="AB1422" s="2" t="s">
        <v>56</v>
      </c>
      <c r="AC1422" s="2" t="s">
        <v>57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3227</v>
      </c>
      <c r="AA1423" s="2" t="s">
        <v>46</v>
      </c>
      <c r="AB1423" s="2" t="s">
        <v>60</v>
      </c>
      <c r="AC1423" s="2" t="s">
        <v>57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3227</v>
      </c>
      <c r="AA1424" s="2" t="s">
        <v>46</v>
      </c>
      <c r="AB1424" s="2" t="s">
        <v>60</v>
      </c>
      <c r="AC1424" s="2" t="s">
        <v>57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hidden="1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3227</v>
      </c>
      <c r="AA1425" s="2" t="s">
        <v>46</v>
      </c>
      <c r="AB1425" s="2" t="s">
        <v>60</v>
      </c>
      <c r="AC1425" s="2" t="s">
        <v>57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3227</v>
      </c>
      <c r="AA1426" s="2" t="s">
        <v>46</v>
      </c>
      <c r="AB1426" s="2" t="s">
        <v>67</v>
      </c>
      <c r="AC1426" s="2" t="s">
        <v>57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3227</v>
      </c>
      <c r="AA1427" s="2" t="s">
        <v>46</v>
      </c>
      <c r="AB1427" s="2" t="s">
        <v>60</v>
      </c>
      <c r="AC1427" s="2" t="s">
        <v>57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117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hidden="1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3227</v>
      </c>
      <c r="AA1429" s="2" t="s">
        <v>46</v>
      </c>
      <c r="AB1429" s="2" t="s">
        <v>47</v>
      </c>
      <c r="AC1429" s="2" t="s">
        <v>57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hidden="1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3227</v>
      </c>
      <c r="AA1430" s="2" t="s">
        <v>46</v>
      </c>
      <c r="AB1430" s="2" t="s">
        <v>47</v>
      </c>
      <c r="AC1430" s="2" t="s">
        <v>57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3227</v>
      </c>
      <c r="AA1431" s="2" t="s">
        <v>46</v>
      </c>
      <c r="AB1431" s="2" t="s">
        <v>56</v>
      </c>
      <c r="AC1431" s="2" t="s">
        <v>57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hidden="1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3227</v>
      </c>
      <c r="AA1432" s="2" t="s">
        <v>46</v>
      </c>
      <c r="AB1432" s="2" t="s">
        <v>60</v>
      </c>
      <c r="AC1432" s="2" t="s">
        <v>57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hidden="1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hidden="1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119</v>
      </c>
      <c r="AA1435" s="2" t="s">
        <v>3380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hidden="1" x14ac:dyDescent="0.2">
      <c r="A1436" s="2">
        <v>2025</v>
      </c>
      <c r="B1436" s="2">
        <v>7</v>
      </c>
      <c r="C1436" s="2" t="s">
        <v>3400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3227</v>
      </c>
      <c r="AA1436" s="2" t="s">
        <v>71</v>
      </c>
      <c r="AB1436" s="2" t="s">
        <v>1600</v>
      </c>
      <c r="AC1436" s="2" t="s">
        <v>1600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3301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3227</v>
      </c>
      <c r="AA1438" s="2" t="s">
        <v>71</v>
      </c>
      <c r="AB1438" s="2" t="s">
        <v>119</v>
      </c>
      <c r="AC1438" s="2" t="s">
        <v>119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hidden="1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3301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3227</v>
      </c>
      <c r="AA1439" s="2" t="s">
        <v>46</v>
      </c>
      <c r="AB1439" s="2" t="s">
        <v>90</v>
      </c>
      <c r="AC1439" s="2" t="s">
        <v>57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3227</v>
      </c>
      <c r="AA1440" s="2" t="s">
        <v>75</v>
      </c>
      <c r="AB1440" s="2" t="s">
        <v>76</v>
      </c>
      <c r="AC1440" s="2" t="s">
        <v>77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3227</v>
      </c>
      <c r="AA1441" s="2" t="s">
        <v>75</v>
      </c>
      <c r="AB1441" s="2" t="s">
        <v>76</v>
      </c>
      <c r="AC1441" s="2" t="s">
        <v>77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3227</v>
      </c>
      <c r="AA1442" s="2" t="s">
        <v>75</v>
      </c>
      <c r="AB1442" s="2" t="s">
        <v>76</v>
      </c>
      <c r="AC1442" s="2" t="s">
        <v>77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3227</v>
      </c>
      <c r="AA1443" s="2" t="s">
        <v>75</v>
      </c>
      <c r="AB1443" s="2" t="s">
        <v>76</v>
      </c>
      <c r="AC1443" s="2" t="s">
        <v>1038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3227</v>
      </c>
      <c r="AA1444" s="2" t="s">
        <v>75</v>
      </c>
      <c r="AB1444" s="2" t="s">
        <v>76</v>
      </c>
      <c r="AC1444" s="2" t="s">
        <v>1038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169</v>
      </c>
      <c r="AA1445" s="2" t="s">
        <v>169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3227</v>
      </c>
      <c r="AA1446" s="2" t="s">
        <v>96</v>
      </c>
      <c r="AB1446" s="2" t="s">
        <v>76</v>
      </c>
      <c r="AC1446" s="2" t="s">
        <v>93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3227</v>
      </c>
      <c r="AA1447" s="2" t="s">
        <v>46</v>
      </c>
      <c r="AB1447" s="2" t="s">
        <v>60</v>
      </c>
      <c r="AC1447" s="2" t="s">
        <v>3332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hidden="1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3227</v>
      </c>
      <c r="AA1448" s="2" t="s">
        <v>46</v>
      </c>
      <c r="AB1448" s="2" t="s">
        <v>60</v>
      </c>
      <c r="AC1448" s="2" t="s">
        <v>3332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hidden="1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3227</v>
      </c>
      <c r="AA1449" s="2" t="s">
        <v>46</v>
      </c>
      <c r="AB1449" s="2" t="s">
        <v>60</v>
      </c>
      <c r="AC1449" s="2" t="s">
        <v>57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117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hidden="1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hidden="1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181</v>
      </c>
      <c r="AB1452" s="2" t="s">
        <v>119</v>
      </c>
      <c r="AC1452" s="2" t="s">
        <v>114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hidden="1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hidden="1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hidden="1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hidden="1" x14ac:dyDescent="0.2">
      <c r="A1457" s="2">
        <v>2025</v>
      </c>
      <c r="B1457" s="2">
        <v>7</v>
      </c>
      <c r="D1457" s="2" t="s">
        <v>1657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3227</v>
      </c>
      <c r="AA1457" s="2" t="s">
        <v>71</v>
      </c>
      <c r="AB1457" s="2" t="s">
        <v>1600</v>
      </c>
      <c r="AC1457" s="2" t="s">
        <v>1600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3227</v>
      </c>
      <c r="AA1458" s="2" t="s">
        <v>71</v>
      </c>
      <c r="AB1458" s="2" t="s">
        <v>119</v>
      </c>
      <c r="AC1458" s="2" t="s">
        <v>119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4"/>
        <v>0.29411764705882354</v>
      </c>
      <c r="Z1459" s="2" t="s">
        <v>169</v>
      </c>
      <c r="AA1459" s="2" t="s">
        <v>169</v>
      </c>
      <c r="AF1459" s="2">
        <f t="shared" si="199"/>
        <v>0</v>
      </c>
      <c r="AJ1459" s="2">
        <f t="shared" si="200"/>
        <v>0</v>
      </c>
      <c r="AK1459" s="2">
        <f t="shared" si="205"/>
        <v>2.5</v>
      </c>
      <c r="AL1459" s="5">
        <f t="shared" si="206"/>
        <v>0.29411764705882354</v>
      </c>
    </row>
    <row r="1460" spans="1:38" hidden="1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117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hidden="1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119</v>
      </c>
      <c r="AA1462" s="2" t="s">
        <v>3380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hidden="1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3227</v>
      </c>
      <c r="AA1463" s="2" t="s">
        <v>46</v>
      </c>
      <c r="AB1463" s="2" t="s">
        <v>60</v>
      </c>
      <c r="AC1463" s="2" t="s">
        <v>57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hidden="1" x14ac:dyDescent="0.2">
      <c r="A1464" s="2">
        <v>2025</v>
      </c>
      <c r="B1464" s="2">
        <v>7</v>
      </c>
      <c r="C1464" s="2" t="s">
        <v>3424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3245</v>
      </c>
      <c r="J1464" s="2" t="s">
        <v>3246</v>
      </c>
      <c r="K1464" s="2">
        <v>96179412</v>
      </c>
      <c r="L1464" s="2" t="s">
        <v>461</v>
      </c>
      <c r="M1464" s="2" t="s">
        <v>40</v>
      </c>
      <c r="O1464" s="2" t="s">
        <v>3253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hidden="1" x14ac:dyDescent="0.2">
      <c r="A1465" s="2">
        <v>2025</v>
      </c>
      <c r="B1465" s="2">
        <v>7</v>
      </c>
      <c r="C1465" s="2" t="s">
        <v>3424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3245</v>
      </c>
      <c r="J1465" s="2" t="s">
        <v>3246</v>
      </c>
      <c r="K1465" s="2">
        <v>96179412</v>
      </c>
      <c r="L1465" s="2" t="s">
        <v>461</v>
      </c>
      <c r="M1465" s="2" t="s">
        <v>40</v>
      </c>
      <c r="O1465" s="2" t="s">
        <v>3253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hidden="1" x14ac:dyDescent="0.2">
      <c r="A1466" s="2">
        <v>2025</v>
      </c>
      <c r="B1466" s="2">
        <v>7</v>
      </c>
      <c r="C1466" s="2" t="s">
        <v>3424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3245</v>
      </c>
      <c r="J1466" s="2" t="s">
        <v>3246</v>
      </c>
      <c r="K1466" s="2">
        <v>96179412</v>
      </c>
      <c r="L1466" s="2" t="s">
        <v>461</v>
      </c>
      <c r="M1466" s="2" t="s">
        <v>40</v>
      </c>
      <c r="O1466" s="2" t="s">
        <v>3253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hidden="1" x14ac:dyDescent="0.2">
      <c r="A1467" s="2">
        <v>2025</v>
      </c>
      <c r="B1467" s="2">
        <v>7</v>
      </c>
      <c r="C1467" s="2" t="s">
        <v>3424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3227</v>
      </c>
      <c r="AA1467" s="2" t="s">
        <v>75</v>
      </c>
      <c r="AB1467" s="2" t="s">
        <v>76</v>
      </c>
      <c r="AC1467" s="2" t="s">
        <v>77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hidden="1" x14ac:dyDescent="0.2">
      <c r="A1468" s="2">
        <v>2025</v>
      </c>
      <c r="B1468" s="2">
        <v>7</v>
      </c>
      <c r="C1468" s="2" t="s">
        <v>3424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3227</v>
      </c>
      <c r="AA1468" s="2" t="s">
        <v>96</v>
      </c>
      <c r="AB1468" s="2" t="s">
        <v>76</v>
      </c>
      <c r="AC1468" s="2" t="s">
        <v>93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hidden="1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199"/>
        <v>0</v>
      </c>
      <c r="AJ1470" s="2">
        <f t="shared" si="200"/>
        <v>0</v>
      </c>
    </row>
    <row r="1471" spans="1:38" hidden="1" x14ac:dyDescent="0.2">
      <c r="A1471" s="2">
        <v>2025</v>
      </c>
      <c r="B1471" s="2">
        <v>7</v>
      </c>
      <c r="C1471" s="2" t="s">
        <v>3424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hidden="1" x14ac:dyDescent="0.2">
      <c r="A1472" s="2">
        <v>2025</v>
      </c>
      <c r="B1472" s="2">
        <v>7</v>
      </c>
      <c r="D1472" s="2" t="s">
        <v>674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hidden="1" x14ac:dyDescent="0.2">
      <c r="A1473" s="2">
        <v>2025</v>
      </c>
      <c r="B1473" s="2">
        <v>7</v>
      </c>
      <c r="D1473" s="2" t="s">
        <v>674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hidden="1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3227</v>
      </c>
      <c r="AA1474" s="2" t="s">
        <v>71</v>
      </c>
      <c r="AB1474" s="2" t="s">
        <v>119</v>
      </c>
      <c r="AC1474" s="2" t="s">
        <v>119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hidden="1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3227</v>
      </c>
      <c r="AA1475" s="2" t="s">
        <v>46</v>
      </c>
      <c r="AB1475" s="2" t="s">
        <v>56</v>
      </c>
      <c r="AC1475" s="2" t="s">
        <v>57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3227</v>
      </c>
      <c r="AA1476" s="2" t="s">
        <v>46</v>
      </c>
      <c r="AB1476" s="2" t="s">
        <v>60</v>
      </c>
      <c r="AC1476" s="2" t="s">
        <v>57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3227</v>
      </c>
      <c r="AA1477" s="2" t="s">
        <v>46</v>
      </c>
      <c r="AB1477" s="2" t="s">
        <v>60</v>
      </c>
      <c r="AC1477" s="2" t="s">
        <v>57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3227</v>
      </c>
      <c r="AA1478" s="2" t="s">
        <v>75</v>
      </c>
      <c r="AB1478" s="2" t="s">
        <v>76</v>
      </c>
      <c r="AC1478" s="2" t="s">
        <v>77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3227</v>
      </c>
      <c r="AA1479" s="2" t="s">
        <v>75</v>
      </c>
      <c r="AB1479" s="2" t="s">
        <v>76</v>
      </c>
      <c r="AC1479" s="2" t="s">
        <v>1038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3227</v>
      </c>
      <c r="AA1480" s="2" t="s">
        <v>1041</v>
      </c>
      <c r="AB1480" s="2" t="s">
        <v>1042</v>
      </c>
      <c r="AC1480" s="2" t="s">
        <v>1038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3227</v>
      </c>
      <c r="AA1481" s="2" t="s">
        <v>1041</v>
      </c>
      <c r="AB1481" s="2" t="s">
        <v>1042</v>
      </c>
      <c r="AC1481" s="2" t="s">
        <v>1038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169</v>
      </c>
      <c r="AA1482" s="2" t="s">
        <v>169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hidden="1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3227</v>
      </c>
      <c r="AA1483" s="2" t="s">
        <v>96</v>
      </c>
      <c r="AB1483" s="2" t="s">
        <v>76</v>
      </c>
      <c r="AC1483" s="2" t="s">
        <v>93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hidden="1" x14ac:dyDescent="0.2">
      <c r="A1484" s="2">
        <v>2025</v>
      </c>
      <c r="B1484" s="2">
        <v>6</v>
      </c>
      <c r="C1484" s="2" t="s">
        <v>3393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3227</v>
      </c>
      <c r="AA1484" s="2" t="s">
        <v>46</v>
      </c>
      <c r="AB1484" s="2" t="s">
        <v>47</v>
      </c>
      <c r="AC1484" s="2" t="s">
        <v>57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hidden="1" x14ac:dyDescent="0.2">
      <c r="A1485" s="2">
        <v>2025</v>
      </c>
      <c r="B1485" s="2">
        <v>6</v>
      </c>
      <c r="C1485" s="2" t="s">
        <v>3393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3227</v>
      </c>
      <c r="AA1485" s="2" t="s">
        <v>46</v>
      </c>
      <c r="AB1485" s="2" t="s">
        <v>56</v>
      </c>
      <c r="AC1485" s="2" t="s">
        <v>57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hidden="1" x14ac:dyDescent="0.2">
      <c r="A1486" s="2">
        <v>2025</v>
      </c>
      <c r="B1486" s="2">
        <v>6</v>
      </c>
      <c r="C1486" s="2" t="s">
        <v>3393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3227</v>
      </c>
      <c r="AA1486" s="2" t="s">
        <v>46</v>
      </c>
      <c r="AB1486" s="2" t="s">
        <v>60</v>
      </c>
      <c r="AC1486" s="2" t="s">
        <v>57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hidden="1" x14ac:dyDescent="0.2">
      <c r="A1487" s="2">
        <v>2025</v>
      </c>
      <c r="B1487" s="2">
        <v>6</v>
      </c>
      <c r="C1487" s="2" t="s">
        <v>3393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3227</v>
      </c>
      <c r="AA1487" s="2" t="s">
        <v>46</v>
      </c>
      <c r="AB1487" s="2" t="s">
        <v>47</v>
      </c>
      <c r="AC1487" s="2" t="s">
        <v>57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hidden="1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hidden="1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3227</v>
      </c>
      <c r="AA1490" s="2" t="s">
        <v>46</v>
      </c>
      <c r="AB1490" s="2" t="s">
        <v>56</v>
      </c>
      <c r="AC1490" s="2" t="s">
        <v>57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3227</v>
      </c>
      <c r="AA1491" s="2" t="s">
        <v>46</v>
      </c>
      <c r="AB1491" s="2" t="s">
        <v>60</v>
      </c>
      <c r="AC1491" s="2" t="s">
        <v>57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3227</v>
      </c>
      <c r="AA1492" s="2" t="s">
        <v>46</v>
      </c>
      <c r="AB1492" s="2" t="s">
        <v>67</v>
      </c>
      <c r="AC1492" s="2" t="s">
        <v>57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117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hidden="1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207"/>
        <v>1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0"/>
        <v>0</v>
      </c>
      <c r="AJ1495" s="2">
        <f t="shared" si="211"/>
        <v>0</v>
      </c>
      <c r="AK1495" s="2">
        <f t="shared" si="208"/>
        <v>152.41</v>
      </c>
      <c r="AL1495" s="5">
        <f t="shared" si="209"/>
        <v>1</v>
      </c>
    </row>
    <row r="1496" spans="1:38" hidden="1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207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7"/>
        <v>0.14285714285714285</v>
      </c>
      <c r="Z1497" s="2" t="s">
        <v>169</v>
      </c>
      <c r="AA1497" s="2" t="s">
        <v>169</v>
      </c>
      <c r="AF1497" s="2">
        <f t="shared" si="210"/>
        <v>0</v>
      </c>
      <c r="AJ1497" s="2">
        <f t="shared" si="211"/>
        <v>0</v>
      </c>
      <c r="AK1497" s="2">
        <f t="shared" si="208"/>
        <v>1</v>
      </c>
      <c r="AL1497" s="5">
        <f t="shared" si="209"/>
        <v>0.14285714285714285</v>
      </c>
    </row>
    <row r="1498" spans="1:38" hidden="1" x14ac:dyDescent="0.2">
      <c r="A1498" s="2">
        <v>2025</v>
      </c>
      <c r="B1498" s="2">
        <v>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119</v>
      </c>
      <c r="AA1499" s="2" t="s">
        <v>3380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hidden="1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hidden="1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hidden="1" x14ac:dyDescent="0.2">
      <c r="A1502" s="2">
        <v>2025</v>
      </c>
      <c r="B1502" s="2">
        <v>6</v>
      </c>
      <c r="C1502" s="2" t="s">
        <v>3417</v>
      </c>
      <c r="D1502" s="2" t="s">
        <v>3416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hidden="1" x14ac:dyDescent="0.2">
      <c r="A1503" s="2">
        <v>2025</v>
      </c>
      <c r="B1503" s="2">
        <v>6</v>
      </c>
      <c r="C1503" s="2" t="s">
        <v>3417</v>
      </c>
      <c r="D1503" s="2" t="s">
        <v>3416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hidden="1" x14ac:dyDescent="0.2">
      <c r="A1504" s="2">
        <v>2025</v>
      </c>
      <c r="B1504" s="2">
        <v>6</v>
      </c>
      <c r="C1504" s="2" t="s">
        <v>3417</v>
      </c>
      <c r="D1504" s="2" t="s">
        <v>3416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hidden="1" x14ac:dyDescent="0.2">
      <c r="A1505" s="2">
        <v>2025</v>
      </c>
      <c r="B1505" s="2">
        <v>6</v>
      </c>
      <c r="C1505" s="2" t="s">
        <v>3417</v>
      </c>
      <c r="D1505" s="2" t="s">
        <v>3416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hidden="1" x14ac:dyDescent="0.2">
      <c r="A1506" s="2">
        <v>2025</v>
      </c>
      <c r="B1506" s="2">
        <v>6</v>
      </c>
      <c r="C1506" s="2" t="s">
        <v>3417</v>
      </c>
      <c r="D1506" s="2" t="s">
        <v>3416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hidden="1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117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hidden="1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3227</v>
      </c>
      <c r="AA1508" s="2" t="s">
        <v>71</v>
      </c>
      <c r="AB1508" s="2" t="s">
        <v>119</v>
      </c>
      <c r="AC1508" s="2" t="s">
        <v>119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3324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117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hidden="1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hidden="1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hidden="1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0"/>
        <v>0</v>
      </c>
      <c r="AJ1513" s="2">
        <f t="shared" si="211"/>
        <v>0</v>
      </c>
    </row>
    <row r="1514" spans="1:38" hidden="1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3227</v>
      </c>
      <c r="AA1514" s="2" t="s">
        <v>46</v>
      </c>
      <c r="AB1514" s="2" t="s">
        <v>60</v>
      </c>
      <c r="AC1514" s="2" t="s">
        <v>57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hidden="1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3227</v>
      </c>
      <c r="AA1515" s="2" t="s">
        <v>46</v>
      </c>
      <c r="AB1515" s="2" t="s">
        <v>60</v>
      </c>
      <c r="AC1515" s="2" t="s">
        <v>57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3227</v>
      </c>
      <c r="AA1516" s="2" t="s">
        <v>75</v>
      </c>
      <c r="AB1516" s="2" t="s">
        <v>76</v>
      </c>
      <c r="AC1516" s="2" t="s">
        <v>77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hidden="1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3227</v>
      </c>
      <c r="AA1517" s="2" t="s">
        <v>96</v>
      </c>
      <c r="AB1517" s="2" t="s">
        <v>76</v>
      </c>
      <c r="AC1517" s="2" t="s">
        <v>93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hidden="1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hidden="1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hidden="1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119</v>
      </c>
      <c r="AA1520" s="2" t="s">
        <v>3380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hidden="1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3227</v>
      </c>
      <c r="AA1521" s="2" t="s">
        <v>75</v>
      </c>
      <c r="AB1521" s="2" t="s">
        <v>76</v>
      </c>
      <c r="AC1521" s="2" t="s">
        <v>77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3227</v>
      </c>
      <c r="AA1522" s="2" t="s">
        <v>96</v>
      </c>
      <c r="AB1522" s="2" t="s">
        <v>76</v>
      </c>
      <c r="AC1522" s="2" t="s">
        <v>93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hidden="1" x14ac:dyDescent="0.2">
      <c r="A1523" s="2">
        <v>2025</v>
      </c>
      <c r="B1523" s="2">
        <v>6</v>
      </c>
      <c r="C1523" s="2" t="s">
        <v>3417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3227</v>
      </c>
      <c r="AA1523" s="2" t="s">
        <v>71</v>
      </c>
      <c r="AB1523" s="2" t="s">
        <v>1600</v>
      </c>
      <c r="AC1523" s="2" t="s">
        <v>1600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3227</v>
      </c>
      <c r="AA1524" s="2" t="s">
        <v>75</v>
      </c>
      <c r="AB1524" s="2" t="s">
        <v>76</v>
      </c>
      <c r="AC1524" s="2" t="s">
        <v>77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3227</v>
      </c>
      <c r="AA1525" s="2" t="s">
        <v>96</v>
      </c>
      <c r="AB1525" s="2" t="s">
        <v>76</v>
      </c>
      <c r="AC1525" s="2" t="s">
        <v>93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hidden="1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117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hidden="1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hidden="1" x14ac:dyDescent="0.2">
      <c r="A1529" s="2">
        <v>2025</v>
      </c>
      <c r="B1529" s="2">
        <v>6</v>
      </c>
      <c r="C1529" s="2" t="s">
        <v>3324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3227</v>
      </c>
      <c r="AA1529" s="2" t="s">
        <v>1574</v>
      </c>
      <c r="AB1529" s="2" t="s">
        <v>388</v>
      </c>
      <c r="AC1529" s="2" t="s">
        <v>1327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hidden="1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hidden="1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hidden="1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hidden="1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hidden="1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hidden="1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3227</v>
      </c>
      <c r="AA1537" s="2" t="s">
        <v>75</v>
      </c>
      <c r="AB1537" s="2" t="s">
        <v>76</v>
      </c>
      <c r="AC1537" s="2" t="s">
        <v>77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3227</v>
      </c>
      <c r="AA1538" s="2" t="s">
        <v>96</v>
      </c>
      <c r="AB1538" s="2" t="s">
        <v>76</v>
      </c>
      <c r="AC1538" s="2" t="s">
        <v>93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hidden="1" x14ac:dyDescent="0.2">
      <c r="A1539" s="2">
        <v>2025</v>
      </c>
      <c r="B1539" s="2">
        <v>6</v>
      </c>
      <c r="C1539" s="2" t="s">
        <v>3393</v>
      </c>
      <c r="D1539" s="2" t="s">
        <v>3407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3393</v>
      </c>
      <c r="D1540" s="2" t="s">
        <v>3407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3393</v>
      </c>
      <c r="D1541" s="2" t="s">
        <v>3407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3227</v>
      </c>
      <c r="AA1541" s="2" t="s">
        <v>71</v>
      </c>
      <c r="AB1541" s="2" t="s">
        <v>1600</v>
      </c>
      <c r="AC1541" s="2" t="s">
        <v>1600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3393</v>
      </c>
      <c r="D1542" s="2" t="s">
        <v>3407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3227</v>
      </c>
      <c r="AA1542" s="2" t="s">
        <v>71</v>
      </c>
      <c r="AB1542" s="2" t="s">
        <v>1600</v>
      </c>
      <c r="AC1542" s="2" t="s">
        <v>1600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3393</v>
      </c>
      <c r="D1543" s="2" t="s">
        <v>3407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3393</v>
      </c>
      <c r="D1544" s="2" t="s">
        <v>3407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3227</v>
      </c>
      <c r="AA1545" s="2" t="s">
        <v>71</v>
      </c>
      <c r="AB1545" s="2" t="s">
        <v>119</v>
      </c>
      <c r="AC1545" s="2" t="s">
        <v>119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117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hidden="1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3227</v>
      </c>
      <c r="AA1547" s="2" t="s">
        <v>71</v>
      </c>
      <c r="AB1547" s="2" t="s">
        <v>119</v>
      </c>
      <c r="AC1547" s="2" t="s">
        <v>119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hidden="1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hidden="1" x14ac:dyDescent="0.2">
      <c r="A1550" s="2">
        <v>2025</v>
      </c>
      <c r="B1550" s="2">
        <v>6</v>
      </c>
      <c r="D1550" s="2" t="s">
        <v>433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3201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3227</v>
      </c>
      <c r="AA1551" s="2" t="s">
        <v>75</v>
      </c>
      <c r="AB1551" s="2" t="s">
        <v>76</v>
      </c>
      <c r="AC1551" s="2" t="s">
        <v>77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3227</v>
      </c>
      <c r="AA1552" s="2" t="s">
        <v>96</v>
      </c>
      <c r="AB1552" s="2" t="s">
        <v>76</v>
      </c>
      <c r="AC1552" s="2" t="s">
        <v>93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hidden="1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3227</v>
      </c>
      <c r="AA1553" s="2" t="s">
        <v>75</v>
      </c>
      <c r="AB1553" s="2" t="s">
        <v>76</v>
      </c>
      <c r="AC1553" s="2" t="s">
        <v>77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3227</v>
      </c>
      <c r="AA1554" s="2" t="s">
        <v>96</v>
      </c>
      <c r="AB1554" s="2" t="s">
        <v>76</v>
      </c>
      <c r="AC1554" s="2" t="s">
        <v>93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hidden="1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hidden="1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hidden="1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hidden="1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hidden="1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hidden="1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hidden="1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3227</v>
      </c>
      <c r="AA1561" s="2" t="s">
        <v>71</v>
      </c>
      <c r="AB1561" s="2" t="s">
        <v>119</v>
      </c>
      <c r="AC1561" s="2" t="s">
        <v>119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3227</v>
      </c>
      <c r="AA1562" s="2" t="s">
        <v>71</v>
      </c>
      <c r="AB1562" s="2" t="s">
        <v>119</v>
      </c>
      <c r="AC1562" s="2" t="s">
        <v>119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117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hidden="1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hidden="1" x14ac:dyDescent="0.2">
      <c r="A1567" s="2">
        <v>2025</v>
      </c>
      <c r="B1567" s="2">
        <v>6</v>
      </c>
      <c r="C1567" s="2" t="s">
        <v>3391</v>
      </c>
      <c r="D1567" s="15" t="s">
        <v>3337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3227</v>
      </c>
      <c r="AA1567" s="2" t="s">
        <v>75</v>
      </c>
      <c r="AB1567" s="2" t="s">
        <v>76</v>
      </c>
      <c r="AC1567" s="2" t="s">
        <v>77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C1568" s="2" t="s">
        <v>3391</v>
      </c>
      <c r="D1568" s="15" t="s">
        <v>3337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3227</v>
      </c>
      <c r="AA1568" s="2" t="s">
        <v>96</v>
      </c>
      <c r="AB1568" s="2" t="s">
        <v>76</v>
      </c>
      <c r="AC1568" s="2" t="s">
        <v>93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hidden="1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hidden="1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104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hidden="1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hidden="1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hidden="1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hidden="1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hidden="1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3227</v>
      </c>
      <c r="AA1577" s="2" t="s">
        <v>46</v>
      </c>
      <c r="AB1577" s="2" t="s">
        <v>56</v>
      </c>
      <c r="AC1577" s="2" t="s">
        <v>57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hidden="1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hidden="1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3227</v>
      </c>
      <c r="AA1580" s="2" t="s">
        <v>71</v>
      </c>
      <c r="AB1580" s="2" t="s">
        <v>119</v>
      </c>
      <c r="AC1580" s="2" t="s">
        <v>119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119</v>
      </c>
      <c r="AA1581" s="2" t="s">
        <v>492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hidden="1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117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hidden="1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hidden="1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hidden="1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hidden="1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3227</v>
      </c>
      <c r="AA1587" s="2" t="s">
        <v>46</v>
      </c>
      <c r="AB1587" s="2" t="s">
        <v>47</v>
      </c>
      <c r="AC1587" s="2" t="s">
        <v>57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3227</v>
      </c>
      <c r="AA1588" s="2" t="s">
        <v>46</v>
      </c>
      <c r="AB1588" s="2" t="s">
        <v>56</v>
      </c>
      <c r="AC1588" s="2" t="s">
        <v>57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3134</v>
      </c>
      <c r="L1589" s="2" t="s">
        <v>177</v>
      </c>
      <c r="M1589" s="2" t="s">
        <v>41</v>
      </c>
      <c r="O1589" s="2" t="s">
        <v>3137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3227</v>
      </c>
      <c r="AA1589" s="2" t="s">
        <v>46</v>
      </c>
      <c r="AB1589" s="2" t="s">
        <v>56</v>
      </c>
      <c r="AC1589" s="2" t="s">
        <v>57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hidden="1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104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hidden="1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117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hidden="1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117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hidden="1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3"/>
        <v>0.25</v>
      </c>
      <c r="Z1594" s="2" t="s">
        <v>169</v>
      </c>
      <c r="AA1594" s="2" t="s">
        <v>169</v>
      </c>
      <c r="AF1594" s="2">
        <f t="shared" si="215"/>
        <v>0</v>
      </c>
      <c r="AJ1594" s="2">
        <f t="shared" si="216"/>
        <v>0</v>
      </c>
      <c r="AK1594" s="2">
        <f t="shared" si="221"/>
        <v>2</v>
      </c>
      <c r="AL1594" s="5">
        <f t="shared" si="224"/>
        <v>0.25</v>
      </c>
    </row>
    <row r="1595" spans="1:38" hidden="1" x14ac:dyDescent="0.2">
      <c r="A1595" s="2">
        <v>2025</v>
      </c>
      <c r="B1595" s="2">
        <v>6</v>
      </c>
      <c r="C1595" s="2" t="s">
        <v>3391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3227</v>
      </c>
      <c r="AA1595" s="2" t="s">
        <v>71</v>
      </c>
      <c r="AB1595" s="2" t="s">
        <v>119</v>
      </c>
      <c r="AC1595" s="2" t="s">
        <v>119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3393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3227</v>
      </c>
      <c r="AA1596" s="2" t="s">
        <v>71</v>
      </c>
      <c r="AB1596" s="2" t="s">
        <v>119</v>
      </c>
      <c r="AC1596" s="2" t="s">
        <v>119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hidden="1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3234</v>
      </c>
      <c r="J1597" s="2" t="s">
        <v>3235</v>
      </c>
      <c r="L1597" s="2" t="s">
        <v>571</v>
      </c>
      <c r="M1597" s="2" t="s">
        <v>80</v>
      </c>
      <c r="O1597" s="2" t="s">
        <v>3236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3227</v>
      </c>
      <c r="AA1597" s="2" t="s">
        <v>75</v>
      </c>
      <c r="AB1597" s="2" t="s">
        <v>76</v>
      </c>
      <c r="AC1597" s="2" t="s">
        <v>77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3234</v>
      </c>
      <c r="J1598" s="2" t="s">
        <v>3235</v>
      </c>
      <c r="L1598" s="2" t="s">
        <v>571</v>
      </c>
      <c r="M1598" s="2" t="s">
        <v>80</v>
      </c>
      <c r="O1598" s="2" t="s">
        <v>3236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3227</v>
      </c>
      <c r="AA1598" s="2" t="s">
        <v>96</v>
      </c>
      <c r="AB1598" s="2" t="s">
        <v>76</v>
      </c>
      <c r="AC1598" s="2" t="s">
        <v>93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hidden="1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3227</v>
      </c>
      <c r="AA1599" s="2" t="s">
        <v>71</v>
      </c>
      <c r="AB1599" s="2" t="s">
        <v>1600</v>
      </c>
      <c r="AC1599" s="2" t="s">
        <v>1600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hidden="1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3227</v>
      </c>
      <c r="AA1600" s="2" t="s">
        <v>46</v>
      </c>
      <c r="AB1600" s="2" t="s">
        <v>90</v>
      </c>
      <c r="AC1600" s="2" t="s">
        <v>57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3227</v>
      </c>
      <c r="AA1601" s="2" t="s">
        <v>75</v>
      </c>
      <c r="AB1601" s="2" t="s">
        <v>76</v>
      </c>
      <c r="AC1601" s="2" t="s">
        <v>77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3227</v>
      </c>
      <c r="AA1602" s="2" t="s">
        <v>75</v>
      </c>
      <c r="AB1602" s="2" t="s">
        <v>76</v>
      </c>
      <c r="AC1602" s="2" t="s">
        <v>77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5"/>
        <v>0</v>
      </c>
      <c r="AJ1603" s="2">
        <f t="shared" si="226"/>
        <v>0</v>
      </c>
    </row>
    <row r="1604" spans="1:38" hidden="1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3227</v>
      </c>
      <c r="AA1604" s="2" t="s">
        <v>96</v>
      </c>
      <c r="AB1604" s="2" t="s">
        <v>76</v>
      </c>
      <c r="AC1604" s="2" t="s">
        <v>93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hidden="1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hidden="1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119</v>
      </c>
      <c r="AA1606" s="2" t="s">
        <v>3380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hidden="1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3227</v>
      </c>
      <c r="AA1607" s="2" t="s">
        <v>75</v>
      </c>
      <c r="AB1607" s="2" t="s">
        <v>76</v>
      </c>
      <c r="AC1607" s="2" t="s">
        <v>1038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3227</v>
      </c>
      <c r="AA1608" s="2" t="s">
        <v>96</v>
      </c>
      <c r="AB1608" s="2" t="s">
        <v>76</v>
      </c>
      <c r="AC1608" s="2" t="s">
        <v>93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hidden="1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3227</v>
      </c>
      <c r="AA1609" s="2" t="s">
        <v>75</v>
      </c>
      <c r="AB1609" s="2" t="s">
        <v>76</v>
      </c>
      <c r="AC1609" s="2" t="s">
        <v>77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3227</v>
      </c>
      <c r="AA1610" s="2" t="s">
        <v>75</v>
      </c>
      <c r="AB1610" s="2" t="s">
        <v>76</v>
      </c>
      <c r="AC1610" s="2" t="s">
        <v>77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3227</v>
      </c>
      <c r="AA1611" s="2" t="s">
        <v>75</v>
      </c>
      <c r="AB1611" s="2" t="s">
        <v>76</v>
      </c>
      <c r="AC1611" s="2" t="s">
        <v>1038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3227</v>
      </c>
      <c r="AA1612" s="2" t="s">
        <v>96</v>
      </c>
      <c r="AB1612" s="2" t="s">
        <v>76</v>
      </c>
      <c r="AC1612" s="2" t="s">
        <v>93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hidden="1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3227</v>
      </c>
      <c r="AA1613" s="2" t="s">
        <v>46</v>
      </c>
      <c r="AB1613" s="2" t="s">
        <v>56</v>
      </c>
      <c r="AC1613" s="2" t="s">
        <v>57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3227</v>
      </c>
      <c r="AA1614" s="2" t="s">
        <v>46</v>
      </c>
      <c r="AB1614" s="2" t="s">
        <v>56</v>
      </c>
      <c r="AC1614" s="2" t="s">
        <v>57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3227</v>
      </c>
      <c r="AA1615" s="2" t="s">
        <v>46</v>
      </c>
      <c r="AB1615" s="2" t="s">
        <v>56</v>
      </c>
      <c r="AC1615" s="2" t="s">
        <v>57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hidden="1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3227</v>
      </c>
      <c r="AA1616" s="2" t="s">
        <v>46</v>
      </c>
      <c r="AB1616" s="2" t="s">
        <v>56</v>
      </c>
      <c r="AC1616" s="2" t="s">
        <v>57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hidden="1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hidden="1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hidden="1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117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hidden="1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3227</v>
      </c>
      <c r="AA1620" s="2" t="s">
        <v>46</v>
      </c>
      <c r="AB1620" s="2" t="s">
        <v>47</v>
      </c>
      <c r="AC1620" s="2" t="s">
        <v>57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3227</v>
      </c>
      <c r="AA1621" s="2" t="s">
        <v>46</v>
      </c>
      <c r="AB1621" s="2" t="s">
        <v>56</v>
      </c>
      <c r="AC1621" s="2" t="s">
        <v>57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hidden="1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hidden="1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hidden="1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hidden="1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117</v>
      </c>
      <c r="AA1629" s="2" t="s">
        <v>181</v>
      </c>
      <c r="AB1629" s="2" t="s">
        <v>119</v>
      </c>
      <c r="AC1629" s="2" t="s">
        <v>114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hidden="1" x14ac:dyDescent="0.2">
      <c r="A1630" s="2">
        <v>2025</v>
      </c>
      <c r="B1630" s="2">
        <v>6</v>
      </c>
      <c r="D1630" s="2" t="s">
        <v>1657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3227</v>
      </c>
      <c r="AA1630" s="2" t="s">
        <v>71</v>
      </c>
      <c r="AB1630" s="2" t="s">
        <v>1600</v>
      </c>
      <c r="AC1630" s="2" t="s">
        <v>1600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3227</v>
      </c>
      <c r="AA1631" s="2" t="s">
        <v>71</v>
      </c>
      <c r="AB1631" s="2" t="s">
        <v>119</v>
      </c>
      <c r="AC1631" s="2" t="s">
        <v>119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0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5"/>
        <v>0</v>
      </c>
      <c r="AJ1632" s="2">
        <f t="shared" si="226"/>
        <v>0</v>
      </c>
      <c r="AK1632" s="2">
        <f t="shared" si="228"/>
        <v>31.990000000000002</v>
      </c>
      <c r="AL1632" s="5">
        <f t="shared" si="231"/>
        <v>0.51102236421725244</v>
      </c>
    </row>
    <row r="1633" spans="1:38" hidden="1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hidden="1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3227</v>
      </c>
      <c r="AA1635" s="2" t="s">
        <v>71</v>
      </c>
      <c r="AB1635" s="2" t="s">
        <v>1600</v>
      </c>
      <c r="AC1635" s="2" t="s">
        <v>1600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hidden="1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3227</v>
      </c>
      <c r="AA1636" s="2" t="s">
        <v>71</v>
      </c>
      <c r="AB1636" s="2" t="s">
        <v>68</v>
      </c>
      <c r="AC1636" s="2" t="s">
        <v>3231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3227</v>
      </c>
      <c r="AA1637" s="2" t="s">
        <v>46</v>
      </c>
      <c r="AB1637" s="2" t="s">
        <v>56</v>
      </c>
      <c r="AC1637" s="2" t="s">
        <v>57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3227</v>
      </c>
      <c r="AA1638" s="2" t="s">
        <v>46</v>
      </c>
      <c r="AB1638" s="2" t="s">
        <v>60</v>
      </c>
      <c r="AC1638" s="2" t="s">
        <v>57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3227</v>
      </c>
      <c r="AA1639" s="2" t="s">
        <v>46</v>
      </c>
      <c r="AB1639" s="2" t="s">
        <v>60</v>
      </c>
      <c r="AC1639" s="2" t="s">
        <v>57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hidden="1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117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hidden="1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30"/>
        <v>1</v>
      </c>
      <c r="AF1641" s="2">
        <f t="shared" si="225"/>
        <v>0</v>
      </c>
      <c r="AJ1641" s="2">
        <f t="shared" si="226"/>
        <v>0</v>
      </c>
      <c r="AK1641" s="2">
        <f t="shared" si="232"/>
        <v>42.99</v>
      </c>
      <c r="AL1641" s="5">
        <f t="shared" si="231"/>
        <v>1</v>
      </c>
    </row>
    <row r="1642" spans="1:38" hidden="1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0"/>
        <v>0.29411764705882354</v>
      </c>
      <c r="Z1642" s="2" t="s">
        <v>169</v>
      </c>
      <c r="AA1642" s="2" t="s">
        <v>169</v>
      </c>
      <c r="AF1642" s="2">
        <f t="shared" si="225"/>
        <v>0</v>
      </c>
      <c r="AJ1642" s="2">
        <f t="shared" si="226"/>
        <v>0</v>
      </c>
      <c r="AK1642" s="2">
        <f t="shared" si="232"/>
        <v>2.5</v>
      </c>
      <c r="AL1642" s="5">
        <f t="shared" si="231"/>
        <v>0.29411764705882354</v>
      </c>
    </row>
    <row r="1643" spans="1:38" hidden="1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3227</v>
      </c>
      <c r="AA1643" s="2" t="s">
        <v>75</v>
      </c>
      <c r="AB1643" s="2" t="s">
        <v>76</v>
      </c>
      <c r="AC1643" s="2" t="s">
        <v>77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3227</v>
      </c>
      <c r="AA1644" s="2" t="s">
        <v>96</v>
      </c>
      <c r="AB1644" s="2" t="s">
        <v>76</v>
      </c>
      <c r="AC1644" s="2" t="s">
        <v>93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hidden="1" x14ac:dyDescent="0.2">
      <c r="A1645" s="2">
        <v>2025</v>
      </c>
      <c r="B1645" s="2">
        <v>8</v>
      </c>
      <c r="C1645" s="2" t="s">
        <v>3318</v>
      </c>
      <c r="D1645" s="2" t="s">
        <v>1750</v>
      </c>
      <c r="E1645" s="2" t="s">
        <v>38</v>
      </c>
      <c r="F1645" s="2" t="s">
        <v>39</v>
      </c>
      <c r="I1645" s="2" t="s">
        <v>3388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3227</v>
      </c>
      <c r="AA1645" s="2" t="s">
        <v>75</v>
      </c>
      <c r="AB1645" s="2" t="s">
        <v>76</v>
      </c>
      <c r="AC1645" s="2" t="s">
        <v>77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3318</v>
      </c>
      <c r="D1646" s="2" t="s">
        <v>1750</v>
      </c>
      <c r="E1646" s="2" t="s">
        <v>38</v>
      </c>
      <c r="F1646" s="2" t="s">
        <v>39</v>
      </c>
      <c r="I1646" s="2" t="s">
        <v>3388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3227</v>
      </c>
      <c r="AA1646" s="2" t="s">
        <v>96</v>
      </c>
      <c r="AB1646" s="2" t="s">
        <v>76</v>
      </c>
      <c r="AC1646" s="2" t="s">
        <v>93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hidden="1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hidden="1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hidden="1" x14ac:dyDescent="0.2">
      <c r="A1649" s="2">
        <v>2025</v>
      </c>
      <c r="B1649" s="2">
        <v>8</v>
      </c>
      <c r="C1649" s="2" t="s">
        <v>3318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3227</v>
      </c>
      <c r="AA1649" s="2" t="s">
        <v>75</v>
      </c>
      <c r="AB1649" s="2" t="s">
        <v>76</v>
      </c>
      <c r="AC1649" s="2" t="s">
        <v>77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3318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3227</v>
      </c>
      <c r="AA1650" s="2" t="s">
        <v>96</v>
      </c>
      <c r="AB1650" s="2" t="s">
        <v>76</v>
      </c>
      <c r="AC1650" s="2" t="s">
        <v>93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hidden="1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3227</v>
      </c>
      <c r="AA1651" s="2" t="s">
        <v>46</v>
      </c>
      <c r="AB1651" s="2" t="s">
        <v>56</v>
      </c>
      <c r="AC1651" s="2" t="s">
        <v>57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3227</v>
      </c>
      <c r="AA1652" s="2" t="s">
        <v>46</v>
      </c>
      <c r="AB1652" s="2" t="s">
        <v>60</v>
      </c>
      <c r="AC1652" s="2" t="s">
        <v>57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hidden="1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3115</v>
      </c>
      <c r="J1656" s="2" t="s">
        <v>3116</v>
      </c>
      <c r="L1656" s="2" t="s">
        <v>112</v>
      </c>
      <c r="M1656" s="2" t="s">
        <v>40</v>
      </c>
      <c r="O1656" s="2" t="s">
        <v>3118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3227</v>
      </c>
      <c r="AA1657" s="2" t="s">
        <v>46</v>
      </c>
      <c r="AB1657" s="2" t="s">
        <v>56</v>
      </c>
      <c r="AC1657" s="2" t="s">
        <v>57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3227</v>
      </c>
      <c r="AA1658" s="2" t="s">
        <v>46</v>
      </c>
      <c r="AB1658" s="2" t="s">
        <v>60</v>
      </c>
      <c r="AC1658" s="2" t="s">
        <v>57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3227</v>
      </c>
      <c r="AA1659" s="2" t="s">
        <v>46</v>
      </c>
      <c r="AB1659" s="2" t="s">
        <v>60</v>
      </c>
      <c r="AC1659" s="2" t="s">
        <v>57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3"/>
        <v>0.25</v>
      </c>
      <c r="Z1660" s="2" t="s">
        <v>169</v>
      </c>
      <c r="AA1660" s="2" t="s">
        <v>169</v>
      </c>
      <c r="AF1660" s="2">
        <f t="shared" si="225"/>
        <v>0</v>
      </c>
      <c r="AJ1660" s="2">
        <f t="shared" si="226"/>
        <v>0</v>
      </c>
      <c r="AK1660" s="2">
        <f t="shared" si="232"/>
        <v>2</v>
      </c>
      <c r="AL1660" s="5">
        <f t="shared" si="234"/>
        <v>0.25</v>
      </c>
    </row>
    <row r="1661" spans="1:38" hidden="1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3227</v>
      </c>
      <c r="AA1661" s="2" t="s">
        <v>75</v>
      </c>
      <c r="AB1661" s="2" t="s">
        <v>76</v>
      </c>
      <c r="AC1661" s="2" t="s">
        <v>77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169</v>
      </c>
      <c r="AA1662" s="2" t="s">
        <v>169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hidden="1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3227</v>
      </c>
      <c r="AA1663" s="2" t="s">
        <v>96</v>
      </c>
      <c r="AB1663" s="2" t="s">
        <v>76</v>
      </c>
      <c r="AC1663" s="2" t="s">
        <v>93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hidden="1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104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hidden="1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104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hidden="1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hidden="1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hidden="1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hidden="1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hidden="1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3227</v>
      </c>
      <c r="AA1670" s="2" t="s">
        <v>75</v>
      </c>
      <c r="AB1670" s="2" t="s">
        <v>76</v>
      </c>
      <c r="AC1670" s="2" t="s">
        <v>77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3227</v>
      </c>
      <c r="AA1671" s="2" t="s">
        <v>96</v>
      </c>
      <c r="AB1671" s="2" t="s">
        <v>76</v>
      </c>
      <c r="AC1671" s="2" t="s">
        <v>93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hidden="1" x14ac:dyDescent="0.2">
      <c r="A1672" s="2">
        <v>2025</v>
      </c>
      <c r="B1672" s="2">
        <v>8</v>
      </c>
      <c r="C1672" s="2" t="s">
        <v>3490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33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35"/>
        <v>0</v>
      </c>
      <c r="AJ1672" s="2">
        <f t="shared" si="236"/>
        <v>0</v>
      </c>
      <c r="AK1672" s="2">
        <f t="shared" si="237"/>
        <v>44.902799999999999</v>
      </c>
      <c r="AL1672" s="5">
        <f t="shared" si="234"/>
        <v>0.65208829509149002</v>
      </c>
    </row>
    <row r="1673" spans="1:38" hidden="1" x14ac:dyDescent="0.2">
      <c r="A1673" s="2">
        <v>2025</v>
      </c>
      <c r="B1673" s="2">
        <v>8</v>
      </c>
      <c r="C1673" s="2" t="s">
        <v>3490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hidden="1" x14ac:dyDescent="0.2">
      <c r="A1674" s="2">
        <v>2025</v>
      </c>
      <c r="B1674" s="2">
        <v>8</v>
      </c>
      <c r="C1674" s="2" t="s">
        <v>3490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hidden="1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3227</v>
      </c>
      <c r="AA1675" s="2" t="s">
        <v>75</v>
      </c>
      <c r="AB1675" s="2" t="s">
        <v>76</v>
      </c>
      <c r="AC1675" s="2" t="s">
        <v>77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3227</v>
      </c>
      <c r="AA1676" s="2" t="s">
        <v>96</v>
      </c>
      <c r="AB1676" s="2" t="s">
        <v>76</v>
      </c>
      <c r="AC1676" s="2" t="s">
        <v>93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hidden="1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hidden="1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hidden="1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3227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hidden="1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hidden="1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hidden="1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119</v>
      </c>
      <c r="AA1683" s="2" t="s">
        <v>3380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hidden="1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104</v>
      </c>
      <c r="AC1684" s="2" t="s">
        <v>101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hidden="1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hidden="1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hidden="1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104</v>
      </c>
      <c r="AC1687" s="2" t="s">
        <v>1327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hidden="1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3227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hidden="1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3227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hidden="1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38"/>
        <v>0.29411764705882354</v>
      </c>
      <c r="Z1690" s="2" t="s">
        <v>169</v>
      </c>
      <c r="AA1690" s="2" t="s">
        <v>169</v>
      </c>
      <c r="AF1690" s="2">
        <f t="shared" si="235"/>
        <v>0</v>
      </c>
      <c r="AJ1690" s="2">
        <f t="shared" si="236"/>
        <v>0</v>
      </c>
      <c r="AK1690" s="2">
        <f t="shared" si="237"/>
        <v>2.5</v>
      </c>
      <c r="AL1690" s="5">
        <f t="shared" si="239"/>
        <v>0.29411764705882354</v>
      </c>
    </row>
    <row r="1691" spans="1:38" hidden="1" x14ac:dyDescent="0.2">
      <c r="A1691" s="2">
        <v>2025</v>
      </c>
      <c r="B1691" s="2">
        <v>8</v>
      </c>
      <c r="C1691" s="2" t="s">
        <v>3493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3227</v>
      </c>
      <c r="AA1691" s="2" t="s">
        <v>75</v>
      </c>
      <c r="AB1691" s="2" t="s">
        <v>76</v>
      </c>
      <c r="AC1691" s="2" t="s">
        <v>77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hidden="1" x14ac:dyDescent="0.2">
      <c r="A1692" s="2">
        <v>2025</v>
      </c>
      <c r="B1692" s="2">
        <v>8</v>
      </c>
      <c r="C1692" s="2" t="s">
        <v>3493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3227</v>
      </c>
      <c r="AA1692" s="2" t="s">
        <v>96</v>
      </c>
      <c r="AB1692" s="2" t="s">
        <v>76</v>
      </c>
      <c r="AC1692" s="2" t="s">
        <v>93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hidden="1" x14ac:dyDescent="0.2">
      <c r="A1693" s="2">
        <v>2025</v>
      </c>
      <c r="B1693" s="2">
        <v>8</v>
      </c>
      <c r="D1693" s="2" t="s">
        <v>1785</v>
      </c>
      <c r="P1693" s="2" t="s">
        <v>3230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3230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hidden="1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hidden="1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119</v>
      </c>
      <c r="AA1697" s="2" t="s">
        <v>3380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hidden="1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hidden="1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hidden="1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3227</v>
      </c>
      <c r="AA1700" s="2" t="s">
        <v>46</v>
      </c>
      <c r="AB1700" s="2" t="s">
        <v>47</v>
      </c>
      <c r="AC1700" s="2" t="s">
        <v>57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3227</v>
      </c>
      <c r="AA1701" s="2" t="s">
        <v>46</v>
      </c>
      <c r="AB1701" s="2" t="s">
        <v>47</v>
      </c>
      <c r="AC1701" s="2" t="s">
        <v>57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3410</v>
      </c>
      <c r="D1702" s="2" t="s">
        <v>3409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3227</v>
      </c>
      <c r="AA1703" s="2" t="s">
        <v>46</v>
      </c>
      <c r="AB1703" s="2" t="s">
        <v>56</v>
      </c>
      <c r="AC1703" s="2" t="s">
        <v>57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3227</v>
      </c>
      <c r="AA1704" s="2" t="s">
        <v>71</v>
      </c>
      <c r="AB1704" s="2" t="s">
        <v>119</v>
      </c>
      <c r="AC1704" s="2" t="s">
        <v>119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3227</v>
      </c>
      <c r="AA1705" s="2" t="s">
        <v>155</v>
      </c>
      <c r="AB1705" s="2" t="s">
        <v>3403</v>
      </c>
      <c r="AC1705" s="2" t="s">
        <v>1327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hidden="1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3227</v>
      </c>
      <c r="AA1706" s="2" t="s">
        <v>46</v>
      </c>
      <c r="AB1706" s="2" t="s">
        <v>67</v>
      </c>
      <c r="AC1706" s="2" t="s">
        <v>57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3227</v>
      </c>
      <c r="AA1707" s="2" t="s">
        <v>46</v>
      </c>
      <c r="AB1707" s="2" t="s">
        <v>56</v>
      </c>
      <c r="AC1707" s="2" t="s">
        <v>57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3227</v>
      </c>
      <c r="AA1708" s="2" t="s">
        <v>46</v>
      </c>
      <c r="AB1708" s="2" t="s">
        <v>56</v>
      </c>
      <c r="AC1708" s="2" t="s">
        <v>57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hidden="1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3227</v>
      </c>
      <c r="AA1709" s="2" t="s">
        <v>46</v>
      </c>
      <c r="AB1709" s="2" t="s">
        <v>56</v>
      </c>
      <c r="AC1709" s="2" t="s">
        <v>57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hidden="1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3227</v>
      </c>
      <c r="AA1710" s="2" t="s">
        <v>46</v>
      </c>
      <c r="AB1710" s="2" t="s">
        <v>56</v>
      </c>
      <c r="AC1710" s="2" t="s">
        <v>57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3227</v>
      </c>
      <c r="AA1711" s="2" t="s">
        <v>46</v>
      </c>
      <c r="AB1711" s="2" t="s">
        <v>60</v>
      </c>
      <c r="AC1711" s="2" t="s">
        <v>57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3227</v>
      </c>
      <c r="AA1712" s="2" t="s">
        <v>46</v>
      </c>
      <c r="AB1712" s="2" t="s">
        <v>90</v>
      </c>
      <c r="AC1712" s="2" t="s">
        <v>57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hidden="1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3227</v>
      </c>
      <c r="AA1713" s="2" t="s">
        <v>87</v>
      </c>
      <c r="AB1713" s="2" t="s">
        <v>90</v>
      </c>
      <c r="AC1713" s="2" t="s">
        <v>84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3227</v>
      </c>
      <c r="AA1714" s="2" t="s">
        <v>46</v>
      </c>
      <c r="AB1714" s="2" t="s">
        <v>60</v>
      </c>
      <c r="AC1714" s="2" t="s">
        <v>57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3227</v>
      </c>
      <c r="AA1715" s="2" t="s">
        <v>46</v>
      </c>
      <c r="AB1715" s="2" t="s">
        <v>67</v>
      </c>
      <c r="AC1715" s="2" t="s">
        <v>57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3401</v>
      </c>
    </row>
    <row r="1717" spans="1:38" hidden="1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3227</v>
      </c>
      <c r="AA1717" s="2" t="s">
        <v>46</v>
      </c>
      <c r="AB1717" s="2" t="s">
        <v>60</v>
      </c>
      <c r="AC1717" s="2" t="s">
        <v>3332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hidden="1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3227</v>
      </c>
      <c r="AA1718" s="2" t="s">
        <v>46</v>
      </c>
      <c r="AB1718" s="2" t="s">
        <v>60</v>
      </c>
      <c r="AC1718" s="2" t="s">
        <v>3332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hidden="1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3227</v>
      </c>
      <c r="AA1719" s="2" t="s">
        <v>46</v>
      </c>
      <c r="AB1719" s="2" t="s">
        <v>47</v>
      </c>
      <c r="AC1719" s="2" t="s">
        <v>57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3227</v>
      </c>
      <c r="AA1720" s="2" t="s">
        <v>46</v>
      </c>
      <c r="AB1720" s="2" t="s">
        <v>47</v>
      </c>
      <c r="AC1720" s="2" t="s">
        <v>57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3227</v>
      </c>
      <c r="AA1721" s="2" t="s">
        <v>87</v>
      </c>
      <c r="AB1721" s="2" t="s">
        <v>90</v>
      </c>
      <c r="AC1721" s="2" t="s">
        <v>84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3227</v>
      </c>
      <c r="AA1722" s="2" t="s">
        <v>87</v>
      </c>
      <c r="AB1722" s="2" t="s">
        <v>90</v>
      </c>
      <c r="AC1722" s="2" t="s">
        <v>84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hidden="1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3227</v>
      </c>
      <c r="AA1723" s="2" t="s">
        <v>87</v>
      </c>
      <c r="AB1723" s="2" t="s">
        <v>90</v>
      </c>
      <c r="AC1723" s="2" t="s">
        <v>84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hidden="1" x14ac:dyDescent="0.2">
      <c r="A1724" s="2">
        <v>2025</v>
      </c>
      <c r="B1724" s="2">
        <v>8</v>
      </c>
      <c r="D1724" s="2" t="s">
        <v>1795</v>
      </c>
      <c r="P1724" s="2" t="s">
        <v>3230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3230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3227</v>
      </c>
      <c r="AA1725" s="2" t="s">
        <v>46</v>
      </c>
      <c r="AB1725" s="2" t="s">
        <v>60</v>
      </c>
      <c r="AC1725" s="2" t="s">
        <v>3332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hidden="1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3220</v>
      </c>
      <c r="J1726" s="2" t="s">
        <v>3221</v>
      </c>
      <c r="L1726" s="2" t="s">
        <v>339</v>
      </c>
      <c r="M1726" s="2" t="s">
        <v>80</v>
      </c>
      <c r="O1726" s="2" t="s">
        <v>3223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3227</v>
      </c>
      <c r="AA1726" s="2" t="s">
        <v>75</v>
      </c>
      <c r="AB1726" s="2" t="s">
        <v>76</v>
      </c>
      <c r="AC1726" s="2" t="s">
        <v>77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3220</v>
      </c>
      <c r="J1727" s="2" t="s">
        <v>3221</v>
      </c>
      <c r="L1727" s="2" t="s">
        <v>339</v>
      </c>
      <c r="M1727" s="2" t="s">
        <v>80</v>
      </c>
      <c r="O1727" s="2" t="s">
        <v>3223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3227</v>
      </c>
      <c r="AA1727" s="2" t="s">
        <v>96</v>
      </c>
      <c r="AB1727" s="2" t="s">
        <v>76</v>
      </c>
      <c r="AC1727" s="2" t="s">
        <v>93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hidden="1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3227</v>
      </c>
      <c r="AA1728" s="2" t="s">
        <v>46</v>
      </c>
      <c r="AB1728" s="2" t="s">
        <v>56</v>
      </c>
      <c r="AC1728" s="2" t="s">
        <v>57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3227</v>
      </c>
      <c r="AA1729" s="2" t="s">
        <v>46</v>
      </c>
      <c r="AB1729" s="2" t="s">
        <v>60</v>
      </c>
      <c r="AC1729" s="2" t="s">
        <v>57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3227</v>
      </c>
      <c r="AA1730" s="2" t="s">
        <v>87</v>
      </c>
      <c r="AB1730" s="2" t="s">
        <v>90</v>
      </c>
      <c r="AC1730" s="2" t="s">
        <v>84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3227</v>
      </c>
      <c r="AA1731" s="2" t="s">
        <v>46</v>
      </c>
      <c r="AB1731" s="2" t="s">
        <v>60</v>
      </c>
      <c r="AC1731" s="2" t="s">
        <v>3405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hidden="1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hidden="1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hidden="1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104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hidden="1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hidden="1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104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hidden="1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104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hidden="1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3227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hidden="1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3227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hidden="1" x14ac:dyDescent="0.2">
      <c r="A1741" s="2">
        <v>2025</v>
      </c>
      <c r="B1741" s="2">
        <v>8</v>
      </c>
      <c r="C1741" s="2" t="s">
        <v>3318</v>
      </c>
      <c r="D1741" s="2" t="s">
        <v>3317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3227</v>
      </c>
      <c r="AA1742" s="2" t="s">
        <v>75</v>
      </c>
      <c r="AB1742" s="2" t="s">
        <v>76</v>
      </c>
      <c r="AC1742" s="2" t="s">
        <v>77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3227</v>
      </c>
      <c r="AA1743" s="2" t="s">
        <v>96</v>
      </c>
      <c r="AB1743" s="2" t="s">
        <v>76</v>
      </c>
      <c r="AC1743" s="2" t="s">
        <v>93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hidden="1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3227</v>
      </c>
      <c r="AA1744" s="2" t="s">
        <v>46</v>
      </c>
      <c r="AB1744" s="2" t="s">
        <v>47</v>
      </c>
      <c r="AC1744" s="2" t="s">
        <v>57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3227</v>
      </c>
      <c r="AA1745" s="2" t="s">
        <v>46</v>
      </c>
      <c r="AB1745" s="2" t="s">
        <v>56</v>
      </c>
      <c r="AC1745" s="2" t="s">
        <v>57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119</v>
      </c>
      <c r="AA1746" s="2" t="s">
        <v>492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hidden="1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3227</v>
      </c>
      <c r="AA1747" s="2" t="s">
        <v>75</v>
      </c>
      <c r="AB1747" s="2" t="s">
        <v>76</v>
      </c>
      <c r="AC1747" s="2" t="s">
        <v>77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3227</v>
      </c>
      <c r="AA1748" s="2" t="s">
        <v>96</v>
      </c>
      <c r="AB1748" s="2" t="s">
        <v>76</v>
      </c>
      <c r="AC1748" s="2" t="s">
        <v>93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hidden="1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3227</v>
      </c>
      <c r="AA1749" s="2" t="s">
        <v>75</v>
      </c>
      <c r="AB1749" s="2" t="s">
        <v>76</v>
      </c>
      <c r="AC1749" s="2" t="s">
        <v>77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117</v>
      </c>
      <c r="AA1750" s="2" t="s">
        <v>1310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hidden="1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3227</v>
      </c>
      <c r="AA1751" s="2" t="s">
        <v>96</v>
      </c>
      <c r="AB1751" s="2" t="s">
        <v>76</v>
      </c>
      <c r="AC1751" s="2" t="s">
        <v>93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hidden="1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3227</v>
      </c>
      <c r="AA1752" s="2" t="s">
        <v>46</v>
      </c>
      <c r="AB1752" s="2" t="s">
        <v>47</v>
      </c>
      <c r="AC1752" s="2" t="s">
        <v>57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3227</v>
      </c>
      <c r="AA1753" s="2" t="s">
        <v>71</v>
      </c>
      <c r="AB1753" s="2" t="s">
        <v>1600</v>
      </c>
      <c r="AC1753" s="2" t="s">
        <v>1600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hidden="1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3227</v>
      </c>
      <c r="AA1754" s="2" t="s">
        <v>71</v>
      </c>
      <c r="AB1754" s="2" t="s">
        <v>1600</v>
      </c>
      <c r="AC1754" s="2" t="s">
        <v>1600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hidden="1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3227</v>
      </c>
      <c r="AA1755" s="2" t="s">
        <v>71</v>
      </c>
      <c r="AB1755" s="2" t="s">
        <v>1600</v>
      </c>
      <c r="AC1755" s="2" t="s">
        <v>1600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hidden="1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3227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hidden="1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3227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hidden="1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3227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hidden="1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3227</v>
      </c>
      <c r="AA1759" s="2" t="s">
        <v>46</v>
      </c>
      <c r="AB1759" s="2" t="s">
        <v>60</v>
      </c>
      <c r="AC1759" s="2" t="s">
        <v>57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3227</v>
      </c>
      <c r="AA1760" s="2" t="s">
        <v>46</v>
      </c>
      <c r="AB1760" s="2" t="s">
        <v>67</v>
      </c>
      <c r="AC1760" s="2" t="s">
        <v>57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hidden="1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hidden="1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3227</v>
      </c>
      <c r="AA1763" s="2" t="s">
        <v>46</v>
      </c>
      <c r="AB1763" s="2" t="s">
        <v>56</v>
      </c>
      <c r="AC1763" s="2" t="s">
        <v>57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hidden="1" x14ac:dyDescent="0.2">
      <c r="A1764" s="2">
        <v>2025</v>
      </c>
      <c r="B1764" s="2">
        <v>8</v>
      </c>
      <c r="C1764" s="2" t="s">
        <v>3471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3227</v>
      </c>
      <c r="AA1764" s="2" t="s">
        <v>46</v>
      </c>
      <c r="AB1764" s="2" t="s">
        <v>56</v>
      </c>
      <c r="AC1764" s="2" t="s">
        <v>57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3227</v>
      </c>
      <c r="AA1765" s="2" t="s">
        <v>46</v>
      </c>
      <c r="AB1765" s="2" t="s">
        <v>67</v>
      </c>
      <c r="AC1765" s="2" t="s">
        <v>57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117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hidden="1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3227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hidden="1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3227</v>
      </c>
      <c r="AA1768" s="2" t="s">
        <v>46</v>
      </c>
      <c r="AB1768" s="2" t="s">
        <v>47</v>
      </c>
      <c r="AC1768" s="2" t="s">
        <v>57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3227</v>
      </c>
      <c r="AA1769" s="2" t="s">
        <v>46</v>
      </c>
      <c r="AB1769" s="2" t="s">
        <v>56</v>
      </c>
      <c r="AC1769" s="2" t="s">
        <v>57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hidden="1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3227</v>
      </c>
      <c r="AA1771" s="2" t="s">
        <v>46</v>
      </c>
      <c r="AB1771" s="2" t="s">
        <v>56</v>
      </c>
      <c r="AC1771" s="2" t="s">
        <v>57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3227</v>
      </c>
      <c r="AA1772" s="2" t="s">
        <v>46</v>
      </c>
      <c r="AB1772" s="2" t="s">
        <v>60</v>
      </c>
      <c r="AC1772" s="2" t="s">
        <v>57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3227</v>
      </c>
      <c r="AA1773" s="2" t="s">
        <v>46</v>
      </c>
      <c r="AB1773" s="2" t="s">
        <v>67</v>
      </c>
      <c r="AC1773" s="2" t="s">
        <v>57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3227</v>
      </c>
      <c r="AA1774" s="2" t="s">
        <v>75</v>
      </c>
      <c r="AB1774" s="2" t="s">
        <v>76</v>
      </c>
      <c r="AC1774" s="2" t="s">
        <v>77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3206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3227</v>
      </c>
      <c r="AA1775" s="2" t="s">
        <v>75</v>
      </c>
      <c r="AB1775" s="2" t="s">
        <v>76</v>
      </c>
      <c r="AC1775" s="2" t="s">
        <v>77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3194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3227</v>
      </c>
      <c r="AA1776" s="2" t="s">
        <v>75</v>
      </c>
      <c r="AB1776" s="2" t="s">
        <v>76</v>
      </c>
      <c r="AC1776" s="2" t="s">
        <v>77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3227</v>
      </c>
      <c r="AA1777" s="2" t="s">
        <v>96</v>
      </c>
      <c r="AB1777" s="2" t="s">
        <v>76</v>
      </c>
      <c r="AC1777" s="2" t="s">
        <v>93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hidden="1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3232</v>
      </c>
      <c r="L1779" s="2" t="s">
        <v>461</v>
      </c>
      <c r="M1779" s="2" t="s">
        <v>41</v>
      </c>
      <c r="O1779" s="2" t="s">
        <v>3233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104</v>
      </c>
      <c r="AA1779" s="2" t="s">
        <v>616</v>
      </c>
      <c r="AB1779" s="2" t="s">
        <v>3173</v>
      </c>
      <c r="AC1779" s="2" t="s">
        <v>114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3227</v>
      </c>
      <c r="AA1780" s="2" t="s">
        <v>46</v>
      </c>
      <c r="AB1780" s="2" t="s">
        <v>56</v>
      </c>
      <c r="AC1780" s="2" t="s">
        <v>57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hidden="1" x14ac:dyDescent="0.2">
      <c r="A1781" s="2">
        <v>2025</v>
      </c>
      <c r="B1781" s="2">
        <v>8</v>
      </c>
      <c r="C1781" s="2" t="s">
        <v>3471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3227</v>
      </c>
      <c r="AA1781" s="2" t="s">
        <v>46</v>
      </c>
      <c r="AB1781" s="2" t="s">
        <v>56</v>
      </c>
      <c r="AC1781" s="2" t="s">
        <v>57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hidden="1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3227</v>
      </c>
      <c r="AA1783" s="2" t="s">
        <v>71</v>
      </c>
      <c r="AB1783" s="2" t="s">
        <v>1600</v>
      </c>
      <c r="AC1783" s="2" t="s">
        <v>1600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3227</v>
      </c>
      <c r="AA1784" s="2" t="s">
        <v>71</v>
      </c>
      <c r="AB1784" s="2" t="s">
        <v>1600</v>
      </c>
      <c r="AC1784" s="2" t="s">
        <v>1600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hidden="1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3227</v>
      </c>
      <c r="AA1785" s="2" t="s">
        <v>46</v>
      </c>
      <c r="AB1785" s="2" t="s">
        <v>60</v>
      </c>
      <c r="AC1785" s="2" t="s">
        <v>57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582</v>
      </c>
      <c r="E1786" s="2" t="s">
        <v>108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3227</v>
      </c>
      <c r="AA1786" s="2" t="s">
        <v>46</v>
      </c>
      <c r="AB1786" s="2" t="s">
        <v>67</v>
      </c>
      <c r="AC1786" s="2" t="s">
        <v>57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3227</v>
      </c>
      <c r="AA1787" s="2" t="s">
        <v>46</v>
      </c>
      <c r="AB1787" s="2" t="s">
        <v>56</v>
      </c>
      <c r="AC1787" s="2" t="s">
        <v>57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3227</v>
      </c>
      <c r="AA1788" s="2" t="s">
        <v>46</v>
      </c>
      <c r="AB1788" s="2" t="s">
        <v>47</v>
      </c>
      <c r="AC1788" s="2" t="s">
        <v>57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hidden="1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3227</v>
      </c>
      <c r="AA1789" s="2" t="s">
        <v>46</v>
      </c>
      <c r="AB1789" s="2" t="s">
        <v>47</v>
      </c>
      <c r="AC1789" s="2" t="s">
        <v>57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hidden="1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3227</v>
      </c>
      <c r="AA1790" s="2" t="s">
        <v>46</v>
      </c>
      <c r="AB1790" s="2" t="s">
        <v>47</v>
      </c>
      <c r="AC1790" s="2" t="s">
        <v>57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hidden="1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3227</v>
      </c>
      <c r="AA1791" s="2" t="s">
        <v>46</v>
      </c>
      <c r="AB1791" s="2" t="s">
        <v>47</v>
      </c>
      <c r="AC1791" s="2" t="s">
        <v>57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hidden="1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3227</v>
      </c>
      <c r="AA1792" s="2" t="s">
        <v>87</v>
      </c>
      <c r="AB1792" s="2" t="s">
        <v>90</v>
      </c>
      <c r="AC1792" s="2" t="s">
        <v>84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hidden="1" x14ac:dyDescent="0.2">
      <c r="A1793" s="2">
        <v>2025</v>
      </c>
      <c r="B1793" s="2">
        <v>8</v>
      </c>
      <c r="C1793" s="2" t="s">
        <v>3318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3227</v>
      </c>
      <c r="AA1793" s="2" t="s">
        <v>71</v>
      </c>
      <c r="AB1793" s="2" t="s">
        <v>1600</v>
      </c>
      <c r="AC1793" s="2" t="s">
        <v>1600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3153</v>
      </c>
      <c r="M1794" s="2" t="s">
        <v>41</v>
      </c>
      <c r="O1794" s="2" t="s">
        <v>3152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3227</v>
      </c>
      <c r="AA1794" s="2" t="s">
        <v>75</v>
      </c>
      <c r="AB1794" s="2" t="s">
        <v>76</v>
      </c>
      <c r="AC1794" s="2" t="s">
        <v>1038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3227</v>
      </c>
      <c r="AA1795" s="2" t="s">
        <v>96</v>
      </c>
      <c r="AB1795" s="2" t="s">
        <v>76</v>
      </c>
      <c r="AC1795" s="2" t="s">
        <v>93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hidden="1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3227</v>
      </c>
      <c r="AA1796" s="2" t="s">
        <v>75</v>
      </c>
      <c r="AB1796" s="2" t="s">
        <v>76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3205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3227</v>
      </c>
      <c r="AA1797" s="2" t="s">
        <v>75</v>
      </c>
      <c r="AB1797" s="2" t="s">
        <v>76</v>
      </c>
      <c r="AC1797" s="2" t="s">
        <v>77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3227</v>
      </c>
      <c r="AA1798" s="2" t="s">
        <v>96</v>
      </c>
      <c r="AB1798" s="2" t="s">
        <v>76</v>
      </c>
      <c r="AC1798" s="2" t="s">
        <v>93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hidden="1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3227</v>
      </c>
      <c r="AA1799" s="2" t="s">
        <v>46</v>
      </c>
      <c r="AB1799" s="2" t="s">
        <v>47</v>
      </c>
      <c r="AC1799" s="2" t="s">
        <v>57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hidden="1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3227</v>
      </c>
      <c r="AA1800" s="2" t="s">
        <v>46</v>
      </c>
      <c r="AB1800" s="2" t="s">
        <v>56</v>
      </c>
      <c r="AC1800" s="2" t="s">
        <v>57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3227</v>
      </c>
      <c r="AA1801" s="2" t="s">
        <v>46</v>
      </c>
      <c r="AB1801" s="2" t="s">
        <v>60</v>
      </c>
      <c r="AC1801" s="2" t="s">
        <v>57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3227</v>
      </c>
      <c r="AA1802" s="2" t="s">
        <v>46</v>
      </c>
      <c r="AB1802" s="2" t="s">
        <v>60</v>
      </c>
      <c r="AC1802" s="2" t="s">
        <v>57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hidden="1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3227</v>
      </c>
      <c r="AA1805" s="2" t="s">
        <v>46</v>
      </c>
      <c r="AB1805" s="2" t="s">
        <v>47</v>
      </c>
      <c r="AC1805" s="2" t="s">
        <v>57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hidden="1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2"/>
        <v>0</v>
      </c>
      <c r="AJ1808" s="2">
        <f t="shared" si="253"/>
        <v>0</v>
      </c>
    </row>
    <row r="1809" spans="1:38" hidden="1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ref="X1809:X1839" si="256">(T1809-W1809)/T1809</f>
        <v>1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14.29</v>
      </c>
      <c r="AL1809" s="5">
        <f t="shared" ref="AL1809:AL1839" si="258">(T1809-W1809)/T1809</f>
        <v>1</v>
      </c>
    </row>
    <row r="1810" spans="1:38" hidden="1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6"/>
        <v>0.25</v>
      </c>
      <c r="Z1810" s="2" t="s">
        <v>169</v>
      </c>
      <c r="AA1810" s="2" t="s">
        <v>169</v>
      </c>
      <c r="AF1810" s="2">
        <f t="shared" si="252"/>
        <v>0</v>
      </c>
      <c r="AJ1810" s="2">
        <f t="shared" si="253"/>
        <v>0</v>
      </c>
      <c r="AK1810" s="2">
        <f t="shared" si="257"/>
        <v>2</v>
      </c>
      <c r="AL1810" s="5">
        <f t="shared" si="258"/>
        <v>0.25</v>
      </c>
    </row>
    <row r="1811" spans="1:38" hidden="1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3227</v>
      </c>
      <c r="AA1811" s="2" t="s">
        <v>46</v>
      </c>
      <c r="AB1811" s="2" t="s">
        <v>56</v>
      </c>
      <c r="AC1811" s="2" t="s">
        <v>57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3227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hidden="1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3227</v>
      </c>
      <c r="AA1813" s="2" t="s">
        <v>46</v>
      </c>
      <c r="AB1813" s="2" t="s">
        <v>56</v>
      </c>
      <c r="AC1813" s="2" t="s">
        <v>57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3227</v>
      </c>
      <c r="AA1814" s="2" t="s">
        <v>46</v>
      </c>
      <c r="AB1814" s="2" t="s">
        <v>60</v>
      </c>
      <c r="AC1814" s="2" t="s">
        <v>57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3227</v>
      </c>
      <c r="AA1815" s="2" t="s">
        <v>46</v>
      </c>
      <c r="AB1815" s="2" t="s">
        <v>60</v>
      </c>
      <c r="AC1815" s="2" t="s">
        <v>57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3411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3227</v>
      </c>
      <c r="AA1816" s="2" t="s">
        <v>155</v>
      </c>
      <c r="AB1816" s="2" t="s">
        <v>154</v>
      </c>
      <c r="AC1816" s="2" t="s">
        <v>152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3227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3227</v>
      </c>
      <c r="AA1818" s="2" t="s">
        <v>71</v>
      </c>
      <c r="AB1818" s="2" t="s">
        <v>119</v>
      </c>
      <c r="AC1818" s="2" t="s">
        <v>119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3227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3227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3227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3227</v>
      </c>
      <c r="AA1822" s="2" t="s">
        <v>46</v>
      </c>
      <c r="AB1822" s="2" t="s">
        <v>56</v>
      </c>
      <c r="AC1822" s="2" t="s">
        <v>57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3227</v>
      </c>
      <c r="AA1823" s="2" t="s">
        <v>46</v>
      </c>
      <c r="AB1823" s="2" t="s">
        <v>56</v>
      </c>
      <c r="AC1823" s="2" t="s">
        <v>57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3227</v>
      </c>
      <c r="AA1824" s="2" t="s">
        <v>46</v>
      </c>
      <c r="AB1824" s="2" t="s">
        <v>60</v>
      </c>
      <c r="AC1824" s="2" t="s">
        <v>57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3227</v>
      </c>
      <c r="AA1825" s="2" t="s">
        <v>46</v>
      </c>
      <c r="AB1825" s="2" t="s">
        <v>67</v>
      </c>
      <c r="AC1825" s="2" t="s">
        <v>57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3227</v>
      </c>
      <c r="AA1826" s="2" t="s">
        <v>46</v>
      </c>
      <c r="AB1826" s="2" t="s">
        <v>67</v>
      </c>
      <c r="AC1826" s="2" t="s">
        <v>57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3227</v>
      </c>
      <c r="AA1827" s="2" t="s">
        <v>75</v>
      </c>
      <c r="AB1827" s="2" t="s">
        <v>76</v>
      </c>
      <c r="AC1827" s="2" t="s">
        <v>77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3227</v>
      </c>
      <c r="AA1828" s="2" t="s">
        <v>75</v>
      </c>
      <c r="AB1828" s="2" t="s">
        <v>76</v>
      </c>
      <c r="AC1828" s="2" t="s">
        <v>1038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3227</v>
      </c>
      <c r="AA1829" s="2" t="s">
        <v>1041</v>
      </c>
      <c r="AB1829" s="2" t="s">
        <v>1318</v>
      </c>
      <c r="AC1829" s="2" t="s">
        <v>1038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3227</v>
      </c>
      <c r="AA1830" s="2" t="s">
        <v>96</v>
      </c>
      <c r="AB1830" s="2" t="s">
        <v>76</v>
      </c>
      <c r="AC1830" s="2" t="s">
        <v>93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hidden="1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3227</v>
      </c>
      <c r="AA1831" s="2" t="s">
        <v>46</v>
      </c>
      <c r="AB1831" s="2" t="s">
        <v>56</v>
      </c>
      <c r="AC1831" s="2" t="s">
        <v>57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3227</v>
      </c>
      <c r="AA1832" s="2" t="s">
        <v>46</v>
      </c>
      <c r="AB1832" s="2" t="s">
        <v>56</v>
      </c>
      <c r="AC1832" s="2" t="s">
        <v>57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3227</v>
      </c>
      <c r="AA1833" s="2" t="s">
        <v>46</v>
      </c>
      <c r="AB1833" s="2" t="s">
        <v>56</v>
      </c>
      <c r="AC1833" s="2" t="s">
        <v>57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3227</v>
      </c>
      <c r="AA1834" s="2" t="s">
        <v>46</v>
      </c>
      <c r="AB1834" s="2" t="s">
        <v>56</v>
      </c>
      <c r="AC1834" s="2" t="s">
        <v>57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hidden="1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3227</v>
      </c>
      <c r="AA1835" s="2" t="s">
        <v>46</v>
      </c>
      <c r="AB1835" s="2" t="s">
        <v>67</v>
      </c>
      <c r="AC1835" s="2" t="s">
        <v>57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hidden="1" x14ac:dyDescent="0.2">
      <c r="A1836" s="2">
        <v>2025</v>
      </c>
      <c r="B1836" s="2">
        <v>10</v>
      </c>
      <c r="C1836" s="2" t="s">
        <v>3413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3227</v>
      </c>
      <c r="AA1837" s="2" t="s">
        <v>75</v>
      </c>
      <c r="AB1837" s="2" t="s">
        <v>76</v>
      </c>
      <c r="AC1837" s="2" t="s">
        <v>77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3227</v>
      </c>
      <c r="AA1838" s="2" t="s">
        <v>96</v>
      </c>
      <c r="AB1838" s="2" t="s">
        <v>76</v>
      </c>
      <c r="AC1838" s="2" t="s">
        <v>93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hidden="1" x14ac:dyDescent="0.2">
      <c r="A1839" s="2">
        <v>2025</v>
      </c>
      <c r="B1839" s="2">
        <v>10</v>
      </c>
      <c r="C1839" s="2" t="s">
        <v>3411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hidden="1" x14ac:dyDescent="0.2">
      <c r="A1840" s="2">
        <v>2025</v>
      </c>
      <c r="B1840" s="2">
        <v>10</v>
      </c>
      <c r="C1840" s="2" t="s">
        <v>3411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3227</v>
      </c>
      <c r="AA1840" s="2" t="s">
        <v>46</v>
      </c>
      <c r="AB1840" s="2" t="s">
        <v>60</v>
      </c>
      <c r="AC1840" s="2" t="s">
        <v>3332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hidden="1" x14ac:dyDescent="0.2">
      <c r="A1841" s="2">
        <v>2025</v>
      </c>
      <c r="B1841" s="2">
        <v>10</v>
      </c>
      <c r="C1841" s="2" t="s">
        <v>3411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3227</v>
      </c>
      <c r="AA1841" s="2" t="s">
        <v>46</v>
      </c>
      <c r="AB1841" s="2" t="s">
        <v>60</v>
      </c>
      <c r="AC1841" s="2" t="s">
        <v>57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hidden="1" x14ac:dyDescent="0.2">
      <c r="A1842" s="2">
        <v>2025</v>
      </c>
      <c r="B1842" s="2">
        <v>10</v>
      </c>
      <c r="C1842" s="2" t="s">
        <v>3411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3227</v>
      </c>
      <c r="AA1842" s="2" t="s">
        <v>46</v>
      </c>
      <c r="AB1842" s="2" t="s">
        <v>60</v>
      </c>
      <c r="AC1842" s="2" t="s">
        <v>57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hidden="1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3227</v>
      </c>
      <c r="AA1843" s="2" t="s">
        <v>46</v>
      </c>
      <c r="AB1843" s="2" t="s">
        <v>47</v>
      </c>
      <c r="AC1843" s="2" t="s">
        <v>57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3227</v>
      </c>
      <c r="AA1844" s="2" t="s">
        <v>46</v>
      </c>
      <c r="AB1844" s="2" t="s">
        <v>56</v>
      </c>
      <c r="AC1844" s="2" t="s">
        <v>57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3227</v>
      </c>
      <c r="AA1845" s="2" t="s">
        <v>46</v>
      </c>
      <c r="AB1845" s="2" t="s">
        <v>56</v>
      </c>
      <c r="AC1845" s="2" t="s">
        <v>57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3227</v>
      </c>
      <c r="AA1846" s="2" t="s">
        <v>46</v>
      </c>
      <c r="AB1846" s="2" t="s">
        <v>60</v>
      </c>
      <c r="AC1846" s="2" t="s">
        <v>57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3227</v>
      </c>
      <c r="AA1850" s="2" t="s">
        <v>71</v>
      </c>
      <c r="AB1850" s="2" t="s">
        <v>68</v>
      </c>
      <c r="AC1850" s="2" t="s">
        <v>3231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2"/>
        <v>0.25</v>
      </c>
      <c r="Z1851" s="2" t="s">
        <v>169</v>
      </c>
      <c r="AA1851" s="2" t="s">
        <v>169</v>
      </c>
      <c r="AF1851" s="2">
        <f t="shared" si="252"/>
        <v>0</v>
      </c>
      <c r="AJ1851" s="2">
        <f t="shared" si="253"/>
        <v>0</v>
      </c>
      <c r="AK1851" s="2">
        <f t="shared" si="260"/>
        <v>2</v>
      </c>
      <c r="AL1851" s="5">
        <f t="shared" si="263"/>
        <v>0.25</v>
      </c>
    </row>
    <row r="1852" spans="1:38" hidden="1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hidden="1" x14ac:dyDescent="0.2">
      <c r="A1856" s="2">
        <v>2025</v>
      </c>
      <c r="B1856" s="2">
        <v>10</v>
      </c>
      <c r="D1856" s="2" t="s">
        <v>198</v>
      </c>
      <c r="E1856" s="2" t="s">
        <v>108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3227</v>
      </c>
      <c r="AA1856" s="2" t="s">
        <v>75</v>
      </c>
      <c r="AB1856" s="2" t="s">
        <v>76</v>
      </c>
      <c r="AC1856" s="2" t="s">
        <v>77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198</v>
      </c>
      <c r="E1857" s="2" t="s">
        <v>108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3227</v>
      </c>
      <c r="AA1857" s="2" t="s">
        <v>96</v>
      </c>
      <c r="AB1857" s="2" t="s">
        <v>76</v>
      </c>
      <c r="AC1857" s="2" t="s">
        <v>93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hidden="1" x14ac:dyDescent="0.2">
      <c r="A1858" s="2">
        <v>2025</v>
      </c>
      <c r="B1858" s="2">
        <v>10</v>
      </c>
      <c r="C1858" s="2" t="s">
        <v>3413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3227</v>
      </c>
      <c r="AA1858" s="2" t="s">
        <v>46</v>
      </c>
      <c r="AB1858" s="2" t="s">
        <v>67</v>
      </c>
      <c r="AC1858" s="2" t="s">
        <v>57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hidden="1" x14ac:dyDescent="0.2">
      <c r="A1859" s="2">
        <v>2025</v>
      </c>
      <c r="B1859" s="2">
        <v>10</v>
      </c>
      <c r="C1859" s="2" t="s">
        <v>3413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2"/>
        <v>0.25</v>
      </c>
      <c r="Z1859" s="2" t="s">
        <v>169</v>
      </c>
      <c r="AA1859" s="2" t="s">
        <v>169</v>
      </c>
      <c r="AF1859" s="2">
        <f t="shared" si="264"/>
        <v>0</v>
      </c>
      <c r="AJ1859" s="2">
        <f t="shared" si="265"/>
        <v>0</v>
      </c>
      <c r="AK1859" s="2">
        <f t="shared" si="260"/>
        <v>2</v>
      </c>
      <c r="AL1859" s="5">
        <f t="shared" si="263"/>
        <v>0.25</v>
      </c>
    </row>
    <row r="1860" spans="1:38" hidden="1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3227</v>
      </c>
      <c r="AA1860" s="2" t="s">
        <v>46</v>
      </c>
      <c r="AB1860" s="2" t="s">
        <v>60</v>
      </c>
      <c r="AC1860" s="2" t="s">
        <v>57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119</v>
      </c>
      <c r="AA1861" s="2" t="s">
        <v>3380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hidden="1" x14ac:dyDescent="0.2">
      <c r="A1862" s="2">
        <v>2025</v>
      </c>
      <c r="B1862" s="2">
        <v>10</v>
      </c>
      <c r="C1862" s="2" t="s">
        <v>3489</v>
      </c>
      <c r="D1862" s="2" t="s">
        <v>3487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Z1862" s="2" t="s">
        <v>104</v>
      </c>
      <c r="AA1862" s="2" t="s">
        <v>3486</v>
      </c>
      <c r="AB1862" s="2" t="s">
        <v>151</v>
      </c>
      <c r="AC1862" s="2" t="s">
        <v>114</v>
      </c>
      <c r="AF1862" s="2">
        <f t="shared" si="264"/>
        <v>0</v>
      </c>
      <c r="AJ1862" s="2">
        <f t="shared" si="265"/>
        <v>0</v>
      </c>
      <c r="AK1862" s="2">
        <f t="shared" si="260"/>
        <v>-11744.23</v>
      </c>
      <c r="AL1862" s="5">
        <v>0</v>
      </c>
    </row>
    <row r="1863" spans="1:38" hidden="1" x14ac:dyDescent="0.2">
      <c r="A1863" s="2">
        <v>2025</v>
      </c>
      <c r="B1863" s="2">
        <v>10</v>
      </c>
      <c r="C1863" s="2" t="s">
        <v>3489</v>
      </c>
      <c r="D1863" s="2" t="s">
        <v>3487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>
        <v>0</v>
      </c>
    </row>
    <row r="1864" spans="1:38" hidden="1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hidden="1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hidden="1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hidden="1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hidden="1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3227</v>
      </c>
      <c r="AA1868" s="2" t="s">
        <v>46</v>
      </c>
      <c r="AB1868" s="2" t="s">
        <v>60</v>
      </c>
      <c r="AC1868" s="2" t="s">
        <v>57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hidden="1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3227</v>
      </c>
      <c r="AA1869" s="2" t="s">
        <v>46</v>
      </c>
      <c r="AB1869" s="2" t="s">
        <v>60</v>
      </c>
      <c r="AC1869" s="2" t="s">
        <v>57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hidden="1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3227</v>
      </c>
      <c r="AA1870" s="2" t="s">
        <v>75</v>
      </c>
      <c r="AB1870" s="2" t="s">
        <v>76</v>
      </c>
      <c r="AC1870" s="2" t="s">
        <v>77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3227</v>
      </c>
      <c r="AA1871" s="2" t="s">
        <v>75</v>
      </c>
      <c r="AB1871" s="2" t="s">
        <v>76</v>
      </c>
      <c r="AC1871" s="2" t="s">
        <v>77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3227</v>
      </c>
      <c r="AA1872" s="2" t="s">
        <v>75</v>
      </c>
      <c r="AB1872" s="2" t="s">
        <v>76</v>
      </c>
      <c r="AC1872" s="2" t="s">
        <v>77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3227</v>
      </c>
      <c r="AA1873" s="2" t="s">
        <v>96</v>
      </c>
      <c r="AB1873" s="2" t="s">
        <v>76</v>
      </c>
      <c r="AC1873" s="2" t="s">
        <v>93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hidden="1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hidden="1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hidden="1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3227</v>
      </c>
      <c r="AA1876" s="2" t="s">
        <v>46</v>
      </c>
      <c r="AB1876" s="2" t="s">
        <v>60</v>
      </c>
      <c r="AC1876" s="2" t="s">
        <v>57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3227</v>
      </c>
      <c r="AA1877" s="2" t="s">
        <v>46</v>
      </c>
      <c r="AB1877" s="2" t="s">
        <v>60</v>
      </c>
      <c r="AC1877" s="2" t="s">
        <v>57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hidden="1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3227</v>
      </c>
      <c r="AA1878" s="2" t="s">
        <v>75</v>
      </c>
      <c r="AB1878" s="2" t="s">
        <v>76</v>
      </c>
      <c r="AC1878" s="2" t="s">
        <v>77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3227</v>
      </c>
      <c r="AA1879" s="2" t="s">
        <v>96</v>
      </c>
      <c r="AB1879" s="2" t="s">
        <v>76</v>
      </c>
      <c r="AC1879" s="2" t="s">
        <v>93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hidden="1" x14ac:dyDescent="0.2">
      <c r="A1880" s="2">
        <v>2025</v>
      </c>
      <c r="B1880" s="2">
        <v>10</v>
      </c>
      <c r="C1880" s="2" t="s">
        <v>3404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66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64"/>
        <v>0</v>
      </c>
      <c r="AJ1880" s="2">
        <f t="shared" si="265"/>
        <v>0</v>
      </c>
      <c r="AK1880" s="2">
        <f t="shared" si="267"/>
        <v>230.74839999999998</v>
      </c>
      <c r="AL1880" s="5">
        <f t="shared" si="263"/>
        <v>0.52574253816359073</v>
      </c>
    </row>
    <row r="1881" spans="1:38" hidden="1" x14ac:dyDescent="0.2">
      <c r="A1881" s="2">
        <v>2025</v>
      </c>
      <c r="B1881" s="2">
        <v>10</v>
      </c>
      <c r="C1881" s="2" t="s">
        <v>3404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66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64"/>
        <v>0</v>
      </c>
      <c r="AJ1881" s="2">
        <f t="shared" si="265"/>
        <v>0</v>
      </c>
      <c r="AK1881" s="2">
        <f t="shared" si="267"/>
        <v>80.888400000000004</v>
      </c>
      <c r="AL1881" s="5">
        <f t="shared" si="263"/>
        <v>0.52751010825616285</v>
      </c>
    </row>
    <row r="1882" spans="1:38" hidden="1" x14ac:dyDescent="0.2">
      <c r="A1882" s="2">
        <v>2025</v>
      </c>
      <c r="B1882" s="2">
        <v>10</v>
      </c>
      <c r="C1882" s="2" t="s">
        <v>3489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5.3525*S1882</f>
        <v>21.41</v>
      </c>
      <c r="X1882" s="5">
        <f t="shared" si="266"/>
        <v>0.62537182852143469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64"/>
        <v>0</v>
      </c>
      <c r="AJ1882" s="2">
        <f t="shared" si="265"/>
        <v>0</v>
      </c>
      <c r="AK1882" s="2">
        <f t="shared" si="267"/>
        <v>35.739999999999995</v>
      </c>
      <c r="AL1882" s="5">
        <f t="shared" ref="AL1882:AL1898" si="268">(T1882-W1882)/T1882</f>
        <v>0.62537182852143469</v>
      </c>
    </row>
    <row r="1883" spans="1:38" hidden="1" x14ac:dyDescent="0.2">
      <c r="A1883" s="2">
        <v>2025</v>
      </c>
      <c r="B1883" s="2">
        <v>10</v>
      </c>
      <c r="C1883" s="2" t="s">
        <v>3404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hidden="1" x14ac:dyDescent="0.2">
      <c r="A1884" s="2">
        <v>2025</v>
      </c>
      <c r="B1884" s="2">
        <v>10</v>
      </c>
      <c r="C1884" s="2" t="s">
        <v>3404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hidden="1" x14ac:dyDescent="0.2">
      <c r="A1885" s="2">
        <v>2025</v>
      </c>
      <c r="B1885" s="2">
        <v>10</v>
      </c>
      <c r="C1885" s="2" t="s">
        <v>3404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hidden="1" x14ac:dyDescent="0.2">
      <c r="A1886" s="2">
        <v>2025</v>
      </c>
      <c r="B1886" s="2">
        <v>10</v>
      </c>
      <c r="D1886" s="2" t="s">
        <v>1877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117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hidden="1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3227</v>
      </c>
      <c r="AA1887" s="2" t="s">
        <v>87</v>
      </c>
      <c r="AB1887" s="2" t="s">
        <v>90</v>
      </c>
      <c r="AC1887" s="2" t="s">
        <v>84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3227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hidden="1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3227</v>
      </c>
      <c r="AA1889" s="2" t="s">
        <v>46</v>
      </c>
      <c r="AB1889" s="2" t="s">
        <v>47</v>
      </c>
      <c r="AC1889" s="2" t="s">
        <v>57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3227</v>
      </c>
      <c r="AA1890" s="2" t="s">
        <v>46</v>
      </c>
      <c r="AB1890" s="2" t="s">
        <v>47</v>
      </c>
      <c r="AC1890" s="2" t="s">
        <v>57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3227</v>
      </c>
      <c r="AA1891" s="2" t="s">
        <v>46</v>
      </c>
      <c r="AB1891" s="2" t="s">
        <v>56</v>
      </c>
      <c r="AC1891" s="2" t="s">
        <v>57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3227</v>
      </c>
      <c r="AA1892" s="2" t="s">
        <v>46</v>
      </c>
      <c r="AB1892" s="2" t="s">
        <v>67</v>
      </c>
      <c r="AC1892" s="2" t="s">
        <v>57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3227</v>
      </c>
      <c r="AA1893" s="2" t="s">
        <v>87</v>
      </c>
      <c r="AB1893" s="2" t="s">
        <v>90</v>
      </c>
      <c r="AC1893" s="2" t="s">
        <v>84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3227</v>
      </c>
      <c r="AA1894" s="2" t="s">
        <v>87</v>
      </c>
      <c r="AB1894" s="2" t="s">
        <v>90</v>
      </c>
      <c r="AC1894" s="2" t="s">
        <v>84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hidden="1" x14ac:dyDescent="0.2">
      <c r="A1895" s="2">
        <v>2025</v>
      </c>
      <c r="B1895" s="2">
        <v>10</v>
      </c>
      <c r="C1895" s="2" t="s">
        <v>3404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3227</v>
      </c>
      <c r="AA1895" s="2" t="s">
        <v>71</v>
      </c>
      <c r="AB1895" s="2" t="s">
        <v>119</v>
      </c>
      <c r="AC1895" s="2" t="s">
        <v>119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1774</v>
      </c>
      <c r="P1896" s="2" t="s">
        <v>3230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3230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3227</v>
      </c>
      <c r="AA1897" s="2" t="s">
        <v>75</v>
      </c>
      <c r="AB1897" s="2" t="s">
        <v>76</v>
      </c>
      <c r="AC1897" s="2" t="s">
        <v>77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3227</v>
      </c>
      <c r="AA1898" s="2" t="s">
        <v>96</v>
      </c>
      <c r="AB1898" s="2" t="s">
        <v>76</v>
      </c>
      <c r="AC1898" s="2" t="s">
        <v>93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hidden="1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104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hidden="1" x14ac:dyDescent="0.2">
      <c r="A1901" s="2">
        <v>2025</v>
      </c>
      <c r="B1901" s="2">
        <v>10</v>
      </c>
      <c r="C1901" s="2" t="s">
        <v>3404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hidden="1" x14ac:dyDescent="0.2">
      <c r="A1902" s="2">
        <v>2025</v>
      </c>
      <c r="B1902" s="2">
        <v>10</v>
      </c>
      <c r="C1902" s="2" t="s">
        <v>3404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hidden="1" x14ac:dyDescent="0.2">
      <c r="A1903" s="2">
        <v>2025</v>
      </c>
      <c r="B1903" s="2">
        <v>10</v>
      </c>
      <c r="C1903" s="2" t="s">
        <v>3404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hidden="1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3227</v>
      </c>
      <c r="AA1904" s="2" t="s">
        <v>75</v>
      </c>
      <c r="AB1904" s="2" t="s">
        <v>76</v>
      </c>
      <c r="AC1904" s="2" t="s">
        <v>77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3227</v>
      </c>
      <c r="AA1905" s="2" t="s">
        <v>96</v>
      </c>
      <c r="AB1905" s="2" t="s">
        <v>76</v>
      </c>
      <c r="AC1905" s="2" t="s">
        <v>93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hidden="1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3227</v>
      </c>
      <c r="AA1906" s="2" t="s">
        <v>46</v>
      </c>
      <c r="AB1906" s="2" t="s">
        <v>56</v>
      </c>
      <c r="AC1906" s="2" t="s">
        <v>57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3227</v>
      </c>
      <c r="AA1907" s="2" t="s">
        <v>46</v>
      </c>
      <c r="AB1907" s="2" t="s">
        <v>60</v>
      </c>
      <c r="AC1907" s="2" t="s">
        <v>57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3413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3227</v>
      </c>
      <c r="AA1908" s="2" t="s">
        <v>71</v>
      </c>
      <c r="AB1908" s="2" t="s">
        <v>68</v>
      </c>
      <c r="AC1908" s="2" t="s">
        <v>3231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hidden="1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hidden="1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3123</v>
      </c>
      <c r="K1911" s="2">
        <v>965864665</v>
      </c>
      <c r="L1911" s="2" t="s">
        <v>344</v>
      </c>
      <c r="M1911" s="2" t="s">
        <v>80</v>
      </c>
      <c r="O1911" s="2" t="s">
        <v>3126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3227</v>
      </c>
      <c r="AA1911" s="2" t="s">
        <v>75</v>
      </c>
      <c r="AB1911" s="2" t="s">
        <v>76</v>
      </c>
      <c r="AC1911" s="2" t="s">
        <v>77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3123</v>
      </c>
      <c r="K1912" s="2">
        <v>965864665</v>
      </c>
      <c r="L1912" s="2" t="s">
        <v>344</v>
      </c>
      <c r="M1912" s="2" t="s">
        <v>80</v>
      </c>
      <c r="O1912" s="2" t="s">
        <v>3126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3227</v>
      </c>
      <c r="AA1912" s="2" t="s">
        <v>96</v>
      </c>
      <c r="AB1912" s="2" t="s">
        <v>76</v>
      </c>
      <c r="AC1912" s="2" t="s">
        <v>93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hidden="1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3227</v>
      </c>
      <c r="AA1913" s="2" t="s">
        <v>46</v>
      </c>
      <c r="AB1913" s="2" t="s">
        <v>60</v>
      </c>
      <c r="AC1913" s="2" t="s">
        <v>57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3227</v>
      </c>
      <c r="AA1914" s="2" t="s">
        <v>46</v>
      </c>
      <c r="AB1914" s="2" t="s">
        <v>67</v>
      </c>
      <c r="AC1914" s="2" t="s">
        <v>57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3227</v>
      </c>
      <c r="AA1915" s="2" t="s">
        <v>46</v>
      </c>
      <c r="AB1915" s="2" t="s">
        <v>56</v>
      </c>
      <c r="AC1915" s="2" t="s">
        <v>57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3227</v>
      </c>
      <c r="AA1916" s="2" t="s">
        <v>46</v>
      </c>
      <c r="AB1916" s="2" t="s">
        <v>60</v>
      </c>
      <c r="AC1916" s="2" t="s">
        <v>57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3227</v>
      </c>
      <c r="AA1917" s="2" t="s">
        <v>46</v>
      </c>
      <c r="AB1917" s="2" t="s">
        <v>60</v>
      </c>
      <c r="AC1917" s="2" t="s">
        <v>57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hidden="1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3227</v>
      </c>
      <c r="AA1918" s="2" t="s">
        <v>46</v>
      </c>
      <c r="AB1918" s="2" t="s">
        <v>56</v>
      </c>
      <c r="AC1918" s="2" t="s">
        <v>57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hidden="1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hidden="1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3227</v>
      </c>
      <c r="AA1921" s="2" t="s">
        <v>75</v>
      </c>
      <c r="AB1921" s="2" t="s">
        <v>76</v>
      </c>
      <c r="AC1921" s="2" t="s">
        <v>77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3227</v>
      </c>
      <c r="AA1922" s="2" t="s">
        <v>96</v>
      </c>
      <c r="AB1922" s="2" t="s">
        <v>76</v>
      </c>
      <c r="AC1922" s="2" t="s">
        <v>93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hidden="1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3227</v>
      </c>
      <c r="AA1923" s="2" t="s">
        <v>75</v>
      </c>
      <c r="AB1923" s="2" t="s">
        <v>76</v>
      </c>
      <c r="AC1923" s="2" t="s">
        <v>77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3227</v>
      </c>
      <c r="AA1924" s="2" t="s">
        <v>75</v>
      </c>
      <c r="AB1924" s="2" t="s">
        <v>76</v>
      </c>
      <c r="AC1924" s="2" t="s">
        <v>77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69"/>
        <v>0</v>
      </c>
      <c r="Z1925" s="2" t="s">
        <v>169</v>
      </c>
      <c r="AA1925" s="2" t="s">
        <v>169</v>
      </c>
      <c r="AF1925" s="2">
        <f t="shared" si="272"/>
        <v>0</v>
      </c>
      <c r="AJ1925" s="2">
        <f t="shared" si="273"/>
        <v>0</v>
      </c>
      <c r="AK1925" s="2">
        <f t="shared" si="270"/>
        <v>0</v>
      </c>
      <c r="AL1925" s="5">
        <f t="shared" si="271"/>
        <v>0</v>
      </c>
    </row>
    <row r="1926" spans="1:38" hidden="1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3227</v>
      </c>
      <c r="AA1926" s="2" t="s">
        <v>96</v>
      </c>
      <c r="AB1926" s="2" t="s">
        <v>76</v>
      </c>
      <c r="AC1926" s="2" t="s">
        <v>93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hidden="1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3227</v>
      </c>
      <c r="AA1927" s="2" t="s">
        <v>46</v>
      </c>
      <c r="AB1927" s="2" t="s">
        <v>60</v>
      </c>
      <c r="AC1927" s="2" t="s">
        <v>3332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hidden="1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3227</v>
      </c>
      <c r="AA1928" s="2" t="s">
        <v>46</v>
      </c>
      <c r="AB1928" s="2" t="s">
        <v>60</v>
      </c>
      <c r="AC1928" s="2" t="s">
        <v>3332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hidden="1" x14ac:dyDescent="0.2">
      <c r="A1929" s="2">
        <v>2025</v>
      </c>
      <c r="B1929" s="2">
        <v>10</v>
      </c>
      <c r="D1929" s="2" t="s">
        <v>1895</v>
      </c>
      <c r="P1929" s="2" t="s">
        <v>3230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3230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104</v>
      </c>
      <c r="AC1930" s="2" t="s">
        <v>3231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hidden="1" x14ac:dyDescent="0.2">
      <c r="A1931" s="2">
        <v>2025</v>
      </c>
      <c r="B1931" s="2">
        <v>10</v>
      </c>
      <c r="D1931" s="2" t="s">
        <v>1901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hidden="1" x14ac:dyDescent="0.2">
      <c r="A1932" s="2">
        <v>2025</v>
      </c>
      <c r="B1932" s="2">
        <v>10</v>
      </c>
      <c r="D1932" s="2" t="s">
        <v>1901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hidden="1" x14ac:dyDescent="0.2">
      <c r="A1933" s="2">
        <v>2025</v>
      </c>
      <c r="B1933" s="2">
        <v>10</v>
      </c>
      <c r="D1933" s="2" t="s">
        <v>1901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hidden="1" x14ac:dyDescent="0.2">
      <c r="A1934" s="2">
        <v>2025</v>
      </c>
      <c r="B1934" s="2">
        <v>10</v>
      </c>
      <c r="C1934" s="2" t="s">
        <v>3404</v>
      </c>
      <c r="D1934" s="2" t="s">
        <v>3462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hidden="1" x14ac:dyDescent="0.2">
      <c r="A1935" s="2">
        <v>2025</v>
      </c>
      <c r="B1935" s="2">
        <v>10</v>
      </c>
      <c r="C1935" s="2" t="s">
        <v>3404</v>
      </c>
      <c r="D1935" s="2" t="s">
        <v>3462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hidden="1" x14ac:dyDescent="0.2">
      <c r="A1936" s="2">
        <v>2025</v>
      </c>
      <c r="B1936" s="2">
        <v>10</v>
      </c>
      <c r="C1936" s="2" t="s">
        <v>3404</v>
      </c>
      <c r="D1936" s="2" t="s">
        <v>3462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104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hidden="1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3227</v>
      </c>
      <c r="AA1937" s="2" t="s">
        <v>75</v>
      </c>
      <c r="AB1937" s="2" t="s">
        <v>76</v>
      </c>
      <c r="AC1937" s="2" t="s">
        <v>77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3227</v>
      </c>
      <c r="AA1938" s="2" t="s">
        <v>96</v>
      </c>
      <c r="AB1938" s="2" t="s">
        <v>76</v>
      </c>
      <c r="AC1938" s="2" t="s">
        <v>93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hidden="1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3227</v>
      </c>
      <c r="AA1939" s="2" t="s">
        <v>46</v>
      </c>
      <c r="AB1939" s="2" t="s">
        <v>47</v>
      </c>
      <c r="AC1939" s="2" t="s">
        <v>57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3227</v>
      </c>
      <c r="AA1940" s="2" t="s">
        <v>46</v>
      </c>
      <c r="AB1940" s="2" t="s">
        <v>56</v>
      </c>
      <c r="AC1940" s="2" t="s">
        <v>57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5"/>
        <v>0.25</v>
      </c>
      <c r="Z1941" s="2" t="s">
        <v>169</v>
      </c>
      <c r="AA1941" s="2" t="s">
        <v>169</v>
      </c>
      <c r="AF1941" s="2">
        <f t="shared" si="272"/>
        <v>0</v>
      </c>
      <c r="AJ1941" s="2">
        <f t="shared" si="273"/>
        <v>0</v>
      </c>
      <c r="AK1941" s="2">
        <f t="shared" si="274"/>
        <v>2</v>
      </c>
      <c r="AL1941" s="5">
        <f t="shared" si="276"/>
        <v>0.25</v>
      </c>
    </row>
    <row r="1942" spans="1:38" hidden="1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3227</v>
      </c>
      <c r="AA1942" s="2" t="s">
        <v>46</v>
      </c>
      <c r="AB1942" s="2" t="s">
        <v>60</v>
      </c>
      <c r="AC1942" s="2" t="s">
        <v>57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3227</v>
      </c>
      <c r="AA1943" s="2" t="s">
        <v>46</v>
      </c>
      <c r="AB1943" s="2" t="s">
        <v>67</v>
      </c>
      <c r="AC1943" s="2" t="s">
        <v>57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1907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hidden="1" x14ac:dyDescent="0.2">
      <c r="A1945" s="2">
        <v>2025</v>
      </c>
      <c r="B1945" s="2">
        <v>10</v>
      </c>
      <c r="D1945" s="2" t="s">
        <v>1907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104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hidden="1" x14ac:dyDescent="0.2">
      <c r="A1946" s="2">
        <v>2025</v>
      </c>
      <c r="B1946" s="2">
        <v>10</v>
      </c>
      <c r="D1946" s="2" t="s">
        <v>1907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3227</v>
      </c>
      <c r="AC1946" s="2" t="s">
        <v>3231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hidden="1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119</v>
      </c>
      <c r="AA1947" s="2" t="s">
        <v>492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hidden="1" x14ac:dyDescent="0.2">
      <c r="A1948" s="2">
        <v>2025</v>
      </c>
      <c r="B1948" s="2">
        <v>10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3227</v>
      </c>
      <c r="AA1948" s="2" t="s">
        <v>75</v>
      </c>
      <c r="AB1948" s="2" t="s">
        <v>76</v>
      </c>
      <c r="AC1948" s="2" t="s">
        <v>77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3227</v>
      </c>
      <c r="AA1949" s="2" t="s">
        <v>75</v>
      </c>
      <c r="AB1949" s="2" t="s">
        <v>76</v>
      </c>
      <c r="AC1949" s="2" t="s">
        <v>77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169</v>
      </c>
      <c r="AA1950" s="2" t="s">
        <v>169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3227</v>
      </c>
      <c r="AA1951" s="2" t="s">
        <v>96</v>
      </c>
      <c r="AB1951" s="2" t="s">
        <v>76</v>
      </c>
      <c r="AC1951" s="2" t="s">
        <v>93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hidden="1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3227</v>
      </c>
      <c r="AA1952" s="2" t="s">
        <v>46</v>
      </c>
      <c r="AB1952" s="2" t="s">
        <v>67</v>
      </c>
      <c r="AC1952" s="2" t="s">
        <v>57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3134</v>
      </c>
      <c r="L1953" s="2" t="s">
        <v>177</v>
      </c>
      <c r="M1953" s="2" t="s">
        <v>41</v>
      </c>
      <c r="O1953" s="2" t="s">
        <v>3140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3227</v>
      </c>
      <c r="AA1953" s="2" t="s">
        <v>46</v>
      </c>
      <c r="AB1953" s="2" t="s">
        <v>47</v>
      </c>
      <c r="AC1953" s="2" t="s">
        <v>57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3134</v>
      </c>
      <c r="L1954" s="2" t="s">
        <v>177</v>
      </c>
      <c r="M1954" s="2" t="s">
        <v>41</v>
      </c>
      <c r="O1954" s="2" t="s">
        <v>3140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3227</v>
      </c>
      <c r="AA1954" s="2" t="s">
        <v>46</v>
      </c>
      <c r="AB1954" s="2" t="s">
        <v>47</v>
      </c>
      <c r="AC1954" s="2" t="s">
        <v>57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hidden="1" x14ac:dyDescent="0.2">
      <c r="A1956" s="2">
        <v>2025</v>
      </c>
      <c r="B1956" s="2">
        <v>10</v>
      </c>
      <c r="D1956" s="2" t="s">
        <v>1914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117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hidden="1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3227</v>
      </c>
      <c r="AA1957" s="2" t="s">
        <v>46</v>
      </c>
      <c r="AB1957" s="2" t="s">
        <v>60</v>
      </c>
      <c r="AC1957" s="2" t="s">
        <v>3332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3227</v>
      </c>
      <c r="AA1958" s="2" t="s">
        <v>46</v>
      </c>
      <c r="AB1958" s="2" t="s">
        <v>60</v>
      </c>
      <c r="AC1958" s="2" t="s">
        <v>3332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3227</v>
      </c>
      <c r="AA1959" s="2" t="s">
        <v>46</v>
      </c>
      <c r="AB1959" s="2" t="s">
        <v>60</v>
      </c>
      <c r="AC1959" s="2" t="s">
        <v>57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3227</v>
      </c>
      <c r="AA1960" s="2" t="s">
        <v>75</v>
      </c>
      <c r="AB1960" s="2" t="s">
        <v>76</v>
      </c>
      <c r="AC1960" s="2" t="s">
        <v>77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2"/>
        <v>0</v>
      </c>
      <c r="AJ1961" s="2">
        <f t="shared" si="273"/>
        <v>0</v>
      </c>
    </row>
    <row r="1962" spans="1:38" hidden="1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3227</v>
      </c>
      <c r="AA1962" s="2" t="s">
        <v>96</v>
      </c>
      <c r="AB1962" s="2" t="s">
        <v>76</v>
      </c>
      <c r="AC1962" s="2" t="s">
        <v>93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hidden="1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3227</v>
      </c>
      <c r="AA1963" s="2" t="s">
        <v>1041</v>
      </c>
      <c r="AB1963" s="2" t="s">
        <v>1318</v>
      </c>
      <c r="AC1963" s="2" t="s">
        <v>1038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169</v>
      </c>
      <c r="AA1964" s="2" t="s">
        <v>169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3224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3227</v>
      </c>
      <c r="AA1967" s="2" t="s">
        <v>71</v>
      </c>
      <c r="AB1967" s="2" t="s">
        <v>1600</v>
      </c>
      <c r="AC1967" s="2" t="s">
        <v>1600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3225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3227</v>
      </c>
      <c r="AA1968" s="2" t="s">
        <v>71</v>
      </c>
      <c r="AB1968" s="2" t="s">
        <v>1600</v>
      </c>
      <c r="AC1968" s="2" t="s">
        <v>1600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3227</v>
      </c>
      <c r="AA1969" s="2" t="s">
        <v>1041</v>
      </c>
      <c r="AB1969" s="2" t="s">
        <v>1270</v>
      </c>
      <c r="AC1969" s="2" t="s">
        <v>1038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3227</v>
      </c>
      <c r="AA1970" s="2" t="s">
        <v>1041</v>
      </c>
      <c r="AB1970" s="2" t="s">
        <v>1270</v>
      </c>
      <c r="AC1970" s="2" t="s">
        <v>1038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3227</v>
      </c>
      <c r="AA1971" s="2" t="s">
        <v>1041</v>
      </c>
      <c r="AB1971" s="2" t="s">
        <v>1318</v>
      </c>
      <c r="AC1971" s="2" t="s">
        <v>1038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3227</v>
      </c>
      <c r="AA1972" s="2" t="s">
        <v>1041</v>
      </c>
      <c r="AB1972" s="2" t="s">
        <v>1318</v>
      </c>
      <c r="AC1972" s="2" t="s">
        <v>1038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3227</v>
      </c>
      <c r="AA1973" s="2" t="s">
        <v>1041</v>
      </c>
      <c r="AB1973" s="2" t="s">
        <v>1318</v>
      </c>
      <c r="AC1973" s="2" t="s">
        <v>1038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3227</v>
      </c>
      <c r="AA1974" s="2" t="s">
        <v>1041</v>
      </c>
      <c r="AB1974" s="2" t="s">
        <v>1318</v>
      </c>
      <c r="AC1974" s="2" t="s">
        <v>1038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78"/>
        <v>-0.65217391304347827</v>
      </c>
      <c r="Z1975" s="2" t="s">
        <v>169</v>
      </c>
      <c r="AA1975" s="2" t="s">
        <v>169</v>
      </c>
      <c r="AF1975" s="2">
        <f t="shared" si="272"/>
        <v>0</v>
      </c>
      <c r="AJ1975" s="2">
        <f t="shared" si="273"/>
        <v>0</v>
      </c>
      <c r="AK1975" s="2">
        <f t="shared" si="279"/>
        <v>-75</v>
      </c>
      <c r="AL1975" s="5">
        <f t="shared" si="280"/>
        <v>-0.65217391304347827</v>
      </c>
    </row>
    <row r="1976" spans="1:38" hidden="1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78"/>
        <v>1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2"/>
        <v>0</v>
      </c>
      <c r="AJ1976" s="2">
        <f t="shared" si="273"/>
        <v>0</v>
      </c>
      <c r="AK1976" s="2">
        <f t="shared" si="279"/>
        <v>152.41</v>
      </c>
      <c r="AL1976" s="5">
        <f t="shared" si="280"/>
        <v>1</v>
      </c>
    </row>
    <row r="1977" spans="1:38" hidden="1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3167</v>
      </c>
      <c r="L1977" s="2" t="s">
        <v>480</v>
      </c>
      <c r="O1977" s="2" t="s">
        <v>3168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3227</v>
      </c>
      <c r="AA1977" s="2" t="s">
        <v>1041</v>
      </c>
      <c r="AB1977" s="2" t="s">
        <v>1042</v>
      </c>
      <c r="AC1977" s="2" t="s">
        <v>1038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3167</v>
      </c>
      <c r="L1978" s="2" t="s">
        <v>480</v>
      </c>
      <c r="O1978" s="2" t="s">
        <v>3168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3227</v>
      </c>
      <c r="AA1978" s="2" t="s">
        <v>1041</v>
      </c>
      <c r="AB1978" s="2" t="s">
        <v>1042</v>
      </c>
      <c r="AC1978" s="2" t="s">
        <v>1038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1275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117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hidden="1" x14ac:dyDescent="0.2">
      <c r="A1980" s="2">
        <v>2025</v>
      </c>
      <c r="B1980" s="2">
        <v>10</v>
      </c>
      <c r="C1980" s="2" t="s">
        <v>3413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3227</v>
      </c>
      <c r="AA1980" s="2" t="s">
        <v>155</v>
      </c>
      <c r="AB1980" s="2" t="s">
        <v>1941</v>
      </c>
      <c r="AC1980" s="2" t="s">
        <v>152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78"/>
        <v>0.29411764705882354</v>
      </c>
      <c r="Z1981" s="2" t="s">
        <v>169</v>
      </c>
      <c r="AA1981" s="2" t="s">
        <v>169</v>
      </c>
      <c r="AF1981" s="2">
        <f t="shared" si="272"/>
        <v>0</v>
      </c>
      <c r="AJ1981" s="2">
        <f t="shared" si="273"/>
        <v>0</v>
      </c>
      <c r="AK1981" s="2">
        <f t="shared" si="279"/>
        <v>2.5</v>
      </c>
      <c r="AL1981" s="5">
        <f t="shared" si="280"/>
        <v>0.29411764705882354</v>
      </c>
    </row>
    <row r="1982" spans="1:38" hidden="1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3227</v>
      </c>
      <c r="AA1982" s="2" t="s">
        <v>75</v>
      </c>
      <c r="AB1982" s="2" t="s">
        <v>76</v>
      </c>
      <c r="AC1982" s="2" t="s">
        <v>77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3227</v>
      </c>
      <c r="AA1983" s="2" t="s">
        <v>96</v>
      </c>
      <c r="AB1983" s="2" t="s">
        <v>76</v>
      </c>
      <c r="AC1983" s="2" t="s">
        <v>93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hidden="1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3227</v>
      </c>
      <c r="AA1984" s="2" t="s">
        <v>71</v>
      </c>
      <c r="AB1984" s="2" t="s">
        <v>68</v>
      </c>
      <c r="AC1984" s="2" t="s">
        <v>3231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3227</v>
      </c>
      <c r="AA1985" s="2" t="s">
        <v>46</v>
      </c>
      <c r="AB1985" s="2" t="s">
        <v>60</v>
      </c>
      <c r="AC1985" s="2" t="s">
        <v>57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3227</v>
      </c>
      <c r="AA1986" s="2" t="s">
        <v>46</v>
      </c>
      <c r="AB1986" s="2" t="s">
        <v>60</v>
      </c>
      <c r="AC1986" s="2" t="s">
        <v>57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3227</v>
      </c>
      <c r="AA1987" s="2" t="s">
        <v>46</v>
      </c>
      <c r="AB1987" s="2" t="s">
        <v>60</v>
      </c>
      <c r="AC1987" s="2" t="s">
        <v>57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3227</v>
      </c>
      <c r="AA1988" s="2" t="s">
        <v>46</v>
      </c>
      <c r="AB1988" s="2" t="s">
        <v>60</v>
      </c>
      <c r="AC1988" s="2" t="s">
        <v>57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3227</v>
      </c>
      <c r="AA1989" s="2" t="s">
        <v>46</v>
      </c>
      <c r="AB1989" s="2" t="s">
        <v>67</v>
      </c>
      <c r="AC1989" s="2" t="s">
        <v>57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3227</v>
      </c>
      <c r="AA1990" s="2" t="s">
        <v>46</v>
      </c>
      <c r="AB1990" s="2" t="s">
        <v>47</v>
      </c>
      <c r="AC1990" s="2" t="s">
        <v>57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hidden="1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3227</v>
      </c>
      <c r="AA1991" s="2" t="s">
        <v>46</v>
      </c>
      <c r="AB1991" s="2" t="s">
        <v>47</v>
      </c>
      <c r="AC1991" s="2" t="s">
        <v>57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hidden="1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3227</v>
      </c>
      <c r="AA1992" s="2" t="s">
        <v>46</v>
      </c>
      <c r="AB1992" s="2" t="s">
        <v>60</v>
      </c>
      <c r="AC1992" s="2" t="s">
        <v>57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3227</v>
      </c>
      <c r="AA1993" s="2" t="s">
        <v>46</v>
      </c>
      <c r="AB1993" s="2" t="s">
        <v>60</v>
      </c>
      <c r="AC1993" s="2" t="s">
        <v>57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1944</v>
      </c>
      <c r="P1994" s="2" t="s">
        <v>3230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3230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582</v>
      </c>
      <c r="E1995" s="2" t="s">
        <v>108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3227</v>
      </c>
      <c r="AA1995" s="2" t="s">
        <v>46</v>
      </c>
      <c r="AB1995" s="2" t="s">
        <v>67</v>
      </c>
      <c r="AC1995" s="2" t="s">
        <v>57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3227</v>
      </c>
      <c r="AA1996" s="2" t="s">
        <v>46</v>
      </c>
      <c r="AB1996" s="2" t="s">
        <v>56</v>
      </c>
      <c r="AC1996" s="2" t="s">
        <v>57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3227</v>
      </c>
      <c r="AA1997" s="2" t="s">
        <v>46</v>
      </c>
      <c r="AB1997" s="2" t="s">
        <v>56</v>
      </c>
      <c r="AC1997" s="2" t="s">
        <v>57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hidden="1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3227</v>
      </c>
      <c r="AA1998" s="2" t="s">
        <v>46</v>
      </c>
      <c r="AB1998" s="2" t="s">
        <v>56</v>
      </c>
      <c r="AC1998" s="2" t="s">
        <v>57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3227</v>
      </c>
      <c r="AA1999" s="2" t="s">
        <v>46</v>
      </c>
      <c r="AB1999" s="2" t="s">
        <v>60</v>
      </c>
      <c r="AC1999" s="2" t="s">
        <v>57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hidden="1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3301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3227</v>
      </c>
      <c r="AA2001" s="2" t="s">
        <v>71</v>
      </c>
      <c r="AB2001" s="2" t="s">
        <v>119</v>
      </c>
      <c r="AC2001" s="2" t="s">
        <v>119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3301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3227</v>
      </c>
      <c r="AA2002" s="2" t="s">
        <v>71</v>
      </c>
      <c r="AB2002" s="2" t="s">
        <v>119</v>
      </c>
      <c r="AC2002" s="2" t="s">
        <v>119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3202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3227</v>
      </c>
      <c r="AA2003" s="2" t="s">
        <v>75</v>
      </c>
      <c r="AB2003" s="2" t="s">
        <v>76</v>
      </c>
      <c r="AC2003" s="2" t="s">
        <v>77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3227</v>
      </c>
      <c r="AA2004" s="2" t="s">
        <v>75</v>
      </c>
      <c r="AB2004" s="2" t="s">
        <v>76</v>
      </c>
      <c r="AC2004" s="2" t="s">
        <v>1038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169</v>
      </c>
      <c r="AA2005" s="2" t="s">
        <v>169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3227</v>
      </c>
      <c r="AA2006" s="2" t="s">
        <v>96</v>
      </c>
      <c r="AB2006" s="2" t="s">
        <v>76</v>
      </c>
      <c r="AC2006" s="2" t="s">
        <v>93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hidden="1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3227</v>
      </c>
      <c r="AA2007" s="2" t="s">
        <v>46</v>
      </c>
      <c r="AB2007" s="2" t="s">
        <v>60</v>
      </c>
      <c r="AC2007" s="2" t="s">
        <v>3332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hidden="1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3227</v>
      </c>
      <c r="AA2008" s="2" t="s">
        <v>46</v>
      </c>
      <c r="AB2008" s="2" t="s">
        <v>60</v>
      </c>
      <c r="AC2008" s="2" t="s">
        <v>3332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hidden="1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hidden="1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3227</v>
      </c>
      <c r="AA2011" s="2" t="s">
        <v>75</v>
      </c>
      <c r="AB2011" s="2" t="s">
        <v>76</v>
      </c>
      <c r="AC2011" s="2" t="s">
        <v>77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3227</v>
      </c>
      <c r="AA2012" s="2" t="s">
        <v>96</v>
      </c>
      <c r="AB2012" s="2" t="s">
        <v>76</v>
      </c>
      <c r="AC2012" s="2" t="s">
        <v>93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hidden="1" x14ac:dyDescent="0.2">
      <c r="A2013" s="2">
        <v>2025</v>
      </c>
      <c r="B2013" s="2">
        <v>10</v>
      </c>
      <c r="D2013" s="2" t="s">
        <v>1299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117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hidden="1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hidden="1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hidden="1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hidden="1" x14ac:dyDescent="0.2">
      <c r="A2020" s="2">
        <v>2025</v>
      </c>
      <c r="B2020" s="2">
        <v>10</v>
      </c>
      <c r="C2020" s="2" t="s">
        <v>3411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hidden="1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6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1"/>
        <v>0</v>
      </c>
      <c r="AJ2021" s="2">
        <f t="shared" si="282"/>
        <v>0</v>
      </c>
      <c r="AK2021" s="2">
        <f t="shared" si="284"/>
        <v>31.990000000000002</v>
      </c>
      <c r="AL2021" s="5">
        <f t="shared" si="287"/>
        <v>0.51102236421725244</v>
      </c>
    </row>
    <row r="2022" spans="1:38" hidden="1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3227</v>
      </c>
      <c r="AA2022" s="2" t="s">
        <v>46</v>
      </c>
      <c r="AB2022" s="2" t="s">
        <v>56</v>
      </c>
      <c r="AC2022" s="2" t="s">
        <v>57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3227</v>
      </c>
      <c r="AA2023" s="2" t="s">
        <v>46</v>
      </c>
      <c r="AB2023" s="2" t="s">
        <v>60</v>
      </c>
      <c r="AC2023" s="2" t="s">
        <v>57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117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hidden="1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3227</v>
      </c>
      <c r="AA2027" s="2" t="s">
        <v>75</v>
      </c>
      <c r="AB2027" s="2" t="s">
        <v>76</v>
      </c>
      <c r="AC2027" s="2" t="s">
        <v>77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3227</v>
      </c>
      <c r="AA2028" s="2" t="s">
        <v>96</v>
      </c>
      <c r="AB2028" s="2" t="s">
        <v>76</v>
      </c>
      <c r="AC2028" s="2" t="s">
        <v>93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hidden="1" x14ac:dyDescent="0.2">
      <c r="A2029" s="2">
        <v>2025</v>
      </c>
      <c r="B2029" s="2">
        <v>10</v>
      </c>
      <c r="D2029" s="2" t="s">
        <v>921</v>
      </c>
      <c r="P2029" s="2" t="s">
        <v>3230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3230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117</v>
      </c>
      <c r="AA2030" s="2" t="s">
        <v>1310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3227</v>
      </c>
      <c r="AA2031" s="2" t="s">
        <v>71</v>
      </c>
      <c r="AB2031" s="2" t="s">
        <v>119</v>
      </c>
      <c r="AC2031" s="2" t="s">
        <v>119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3227</v>
      </c>
      <c r="AA2032" s="2" t="s">
        <v>46</v>
      </c>
      <c r="AB2032" s="2" t="s">
        <v>60</v>
      </c>
      <c r="AC2032" s="2" t="s">
        <v>3332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3227</v>
      </c>
      <c r="AA2033" s="2" t="s">
        <v>46</v>
      </c>
      <c r="AB2033" s="2" t="s">
        <v>56</v>
      </c>
      <c r="AC2033" s="2" t="s">
        <v>57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3227</v>
      </c>
      <c r="AA2034" s="2" t="s">
        <v>46</v>
      </c>
      <c r="AB2034" s="2" t="s">
        <v>60</v>
      </c>
      <c r="AC2034" s="2" t="s">
        <v>57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3227</v>
      </c>
      <c r="AA2035" s="2" t="s">
        <v>46</v>
      </c>
      <c r="AB2035" s="2" t="s">
        <v>60</v>
      </c>
      <c r="AC2035" s="2" t="s">
        <v>57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3227</v>
      </c>
      <c r="AA2036" s="2" t="s">
        <v>46</v>
      </c>
      <c r="AB2036" s="2" t="s">
        <v>60</v>
      </c>
      <c r="AC2036" s="2" t="s">
        <v>57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3227</v>
      </c>
      <c r="AA2037" s="2" t="s">
        <v>75</v>
      </c>
      <c r="AB2037" s="2" t="s">
        <v>76</v>
      </c>
      <c r="AC2037" s="2" t="s">
        <v>77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3204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3227</v>
      </c>
      <c r="AA2038" s="2" t="s">
        <v>75</v>
      </c>
      <c r="AB2038" s="2" t="s">
        <v>76</v>
      </c>
      <c r="AC2038" s="2" t="s">
        <v>77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3227</v>
      </c>
      <c r="AA2039" s="2" t="s">
        <v>75</v>
      </c>
      <c r="AB2039" s="2" t="s">
        <v>76</v>
      </c>
      <c r="AC2039" s="2" t="s">
        <v>1038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3227</v>
      </c>
      <c r="AA2040" s="2" t="s">
        <v>87</v>
      </c>
      <c r="AB2040" s="2" t="s">
        <v>90</v>
      </c>
      <c r="AC2040" s="2" t="s">
        <v>84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117</v>
      </c>
      <c r="AA2041" s="2" t="s">
        <v>1310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3227</v>
      </c>
      <c r="AA2042" s="2" t="s">
        <v>96</v>
      </c>
      <c r="AB2042" s="2" t="s">
        <v>76</v>
      </c>
      <c r="AC2042" s="2" t="s">
        <v>93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119</v>
      </c>
      <c r="AA2043" s="2" t="s">
        <v>3380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hidden="1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hidden="1" x14ac:dyDescent="0.2">
      <c r="A2047" s="2">
        <v>2025</v>
      </c>
      <c r="B2047" s="2">
        <v>11</v>
      </c>
      <c r="C2047" s="2" t="s">
        <v>3453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3227</v>
      </c>
      <c r="AA2047" s="2" t="s">
        <v>46</v>
      </c>
      <c r="AB2047" s="2" t="s">
        <v>47</v>
      </c>
      <c r="AC2047" s="2" t="s">
        <v>57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hidden="1" x14ac:dyDescent="0.2">
      <c r="A2048" s="2">
        <v>2025</v>
      </c>
      <c r="B2048" s="2">
        <v>11</v>
      </c>
      <c r="C2048" s="2" t="s">
        <v>3453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3227</v>
      </c>
      <c r="AA2048" s="2" t="s">
        <v>46</v>
      </c>
      <c r="AB2048" s="2" t="s">
        <v>60</v>
      </c>
      <c r="AC2048" s="2" t="s">
        <v>57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hidden="1" x14ac:dyDescent="0.2">
      <c r="A2049" s="2">
        <v>2025</v>
      </c>
      <c r="B2049" s="2">
        <v>11</v>
      </c>
      <c r="C2049" s="2" t="s">
        <v>3453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3227</v>
      </c>
      <c r="AA2049" s="2" t="s">
        <v>46</v>
      </c>
      <c r="AB2049" s="2" t="s">
        <v>60</v>
      </c>
      <c r="AC2049" s="2" t="s">
        <v>57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933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117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hidden="1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143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117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hidden="1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3227</v>
      </c>
      <c r="AA2055" s="2" t="s">
        <v>75</v>
      </c>
      <c r="AB2055" s="2" t="s">
        <v>76</v>
      </c>
      <c r="AC2055" s="2" t="s">
        <v>77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3227</v>
      </c>
      <c r="AA2056" s="2" t="s">
        <v>75</v>
      </c>
      <c r="AB2056" s="2" t="s">
        <v>76</v>
      </c>
      <c r="AC2056" s="2" t="s">
        <v>1038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hidden="1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169</v>
      </c>
      <c r="AA2059" s="2" t="s">
        <v>169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3227</v>
      </c>
      <c r="AA2060" s="2" t="s">
        <v>96</v>
      </c>
      <c r="AB2060" s="2" t="s">
        <v>76</v>
      </c>
      <c r="AC2060" s="2" t="s">
        <v>93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hidden="1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119</v>
      </c>
      <c r="AA2061" s="2" t="s">
        <v>3380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hidden="1" x14ac:dyDescent="0.2">
      <c r="A2062" s="2">
        <v>2025</v>
      </c>
      <c r="B2062" s="2">
        <v>11</v>
      </c>
      <c r="D2062" s="2" t="s">
        <v>278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3227</v>
      </c>
      <c r="AA2062" s="2" t="s">
        <v>46</v>
      </c>
      <c r="AB2062" s="2" t="s">
        <v>56</v>
      </c>
      <c r="AC2062" s="2" t="s">
        <v>57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hidden="1" x14ac:dyDescent="0.2">
      <c r="A2063" s="2">
        <v>2025</v>
      </c>
      <c r="B2063" s="2">
        <v>11</v>
      </c>
      <c r="D2063" s="2" t="s">
        <v>278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3227</v>
      </c>
      <c r="AA2063" s="2" t="s">
        <v>46</v>
      </c>
      <c r="AB2063" s="2" t="s">
        <v>56</v>
      </c>
      <c r="AC2063" s="2" t="s">
        <v>57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hidden="1" x14ac:dyDescent="0.2">
      <c r="A2064" s="2">
        <v>2025</v>
      </c>
      <c r="B2064" s="2">
        <v>11</v>
      </c>
      <c r="D2064" s="2" t="s">
        <v>278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3227</v>
      </c>
      <c r="AA2064" s="2" t="s">
        <v>46</v>
      </c>
      <c r="AB2064" s="2" t="s">
        <v>56</v>
      </c>
      <c r="AC2064" s="2" t="s">
        <v>57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hidden="1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hidden="1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119</v>
      </c>
      <c r="AA2067" s="2" t="s">
        <v>3380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hidden="1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hidden="1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hidden="1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3227</v>
      </c>
      <c r="AA2070" s="2" t="s">
        <v>71</v>
      </c>
      <c r="AB2070" s="2" t="s">
        <v>119</v>
      </c>
      <c r="AC2070" s="2" t="s">
        <v>119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hidden="1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3227</v>
      </c>
      <c r="AA2071" s="2" t="s">
        <v>46</v>
      </c>
      <c r="AB2071" s="2" t="s">
        <v>47</v>
      </c>
      <c r="AC2071" s="2" t="s">
        <v>57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3227</v>
      </c>
      <c r="AA2072" s="2" t="s">
        <v>46</v>
      </c>
      <c r="AB2072" s="2" t="s">
        <v>56</v>
      </c>
      <c r="AC2072" s="2" t="s">
        <v>57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3227</v>
      </c>
      <c r="AA2073" s="2" t="s">
        <v>46</v>
      </c>
      <c r="AB2073" s="2" t="s">
        <v>60</v>
      </c>
      <c r="AC2073" s="2" t="s">
        <v>57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3227</v>
      </c>
      <c r="AA2074" s="2" t="s">
        <v>46</v>
      </c>
      <c r="AB2074" s="2" t="s">
        <v>67</v>
      </c>
      <c r="AC2074" s="2" t="s">
        <v>57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3227</v>
      </c>
      <c r="AA2075" s="2" t="s">
        <v>46</v>
      </c>
      <c r="AB2075" s="2" t="s">
        <v>56</v>
      </c>
      <c r="AC2075" s="2" t="s">
        <v>57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3227</v>
      </c>
      <c r="AA2076" s="2" t="s">
        <v>46</v>
      </c>
      <c r="AB2076" s="2" t="s">
        <v>56</v>
      </c>
      <c r="AC2076" s="2" t="s">
        <v>57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hidden="1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3227</v>
      </c>
      <c r="AA2077" s="2" t="s">
        <v>46</v>
      </c>
      <c r="AB2077" s="2" t="s">
        <v>56</v>
      </c>
      <c r="AC2077" s="2" t="s">
        <v>57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hidden="1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117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hidden="1" x14ac:dyDescent="0.2">
      <c r="A2079" s="2">
        <v>2025</v>
      </c>
      <c r="B2079" s="2">
        <v>11</v>
      </c>
      <c r="C2079" s="2" t="s">
        <v>3413</v>
      </c>
      <c r="D2079" s="2" t="s">
        <v>3487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290"/>
        <v>0.50443413173652696</v>
      </c>
      <c r="Z2079" s="2" t="s">
        <v>104</v>
      </c>
      <c r="AA2079" s="2" t="s">
        <v>3486</v>
      </c>
      <c r="AB2079" s="2" t="s">
        <v>151</v>
      </c>
      <c r="AC2079" s="2" t="s">
        <v>114</v>
      </c>
      <c r="AF2079" s="2">
        <f t="shared" si="288"/>
        <v>0</v>
      </c>
      <c r="AJ2079" s="2">
        <f t="shared" si="289"/>
        <v>0</v>
      </c>
      <c r="AK2079" s="2">
        <f t="shared" si="292"/>
        <v>3369.62</v>
      </c>
      <c r="AL2079" s="5">
        <f t="shared" si="291"/>
        <v>0.50443413173652696</v>
      </c>
    </row>
    <row r="2080" spans="1:38" hidden="1" x14ac:dyDescent="0.2">
      <c r="A2080" s="2">
        <v>2025</v>
      </c>
      <c r="B2080" s="2">
        <v>11</v>
      </c>
      <c r="C2080" s="2" t="s">
        <v>3394</v>
      </c>
      <c r="D2080" s="2" t="s">
        <v>3487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290"/>
        <v>0.38241097560975618</v>
      </c>
      <c r="Z2080" s="2" t="s">
        <v>104</v>
      </c>
      <c r="AA2080" s="2" t="s">
        <v>3486</v>
      </c>
      <c r="AB2080" s="2" t="s">
        <v>151</v>
      </c>
      <c r="AC2080" s="2" t="s">
        <v>114</v>
      </c>
      <c r="AF2080" s="2">
        <f t="shared" si="288"/>
        <v>0</v>
      </c>
      <c r="AJ2080" s="2">
        <f t="shared" si="289"/>
        <v>0</v>
      </c>
      <c r="AK2080" s="2">
        <f t="shared" si="292"/>
        <v>3135.7700000000004</v>
      </c>
      <c r="AL2080" s="5">
        <f t="shared" si="291"/>
        <v>0.38241097560975618</v>
      </c>
    </row>
    <row r="2081" spans="1:38" hidden="1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3227</v>
      </c>
      <c r="AA2081" s="2" t="s">
        <v>46</v>
      </c>
      <c r="AB2081" s="2" t="s">
        <v>56</v>
      </c>
      <c r="AC2081" s="2" t="s">
        <v>57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3227</v>
      </c>
      <c r="AA2082" s="2" t="s">
        <v>3383</v>
      </c>
      <c r="AB2082" s="2" t="s">
        <v>1986</v>
      </c>
      <c r="AC2082" s="2" t="s">
        <v>1038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3227</v>
      </c>
      <c r="AA2083" s="2" t="s">
        <v>75</v>
      </c>
      <c r="AB2083" s="2" t="s">
        <v>76</v>
      </c>
      <c r="AC2083" s="2" t="s">
        <v>77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3227</v>
      </c>
      <c r="AA2084" s="2" t="s">
        <v>96</v>
      </c>
      <c r="AB2084" s="2" t="s">
        <v>76</v>
      </c>
      <c r="AC2084" s="2" t="s">
        <v>93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hidden="1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3227</v>
      </c>
      <c r="AA2085" s="2" t="s">
        <v>46</v>
      </c>
      <c r="AB2085" s="2" t="s">
        <v>60</v>
      </c>
      <c r="AC2085" s="2" t="s">
        <v>57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hidden="1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3227</v>
      </c>
      <c r="AA2086" s="2" t="s">
        <v>46</v>
      </c>
      <c r="AB2086" s="2" t="s">
        <v>60</v>
      </c>
      <c r="AC2086" s="2" t="s">
        <v>57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hidden="1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3227</v>
      </c>
      <c r="AA2087" s="2" t="s">
        <v>75</v>
      </c>
      <c r="AB2087" s="2" t="s">
        <v>76</v>
      </c>
      <c r="AC2087" s="2" t="s">
        <v>77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3227</v>
      </c>
      <c r="AA2088" s="2" t="s">
        <v>96</v>
      </c>
      <c r="AB2088" s="2" t="s">
        <v>76</v>
      </c>
      <c r="AC2088" s="2" t="s">
        <v>93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hidden="1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119</v>
      </c>
      <c r="AA2089" s="2" t="s">
        <v>3380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hidden="1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3227</v>
      </c>
      <c r="AA2090" s="2" t="s">
        <v>46</v>
      </c>
      <c r="AB2090" s="2" t="s">
        <v>47</v>
      </c>
      <c r="AC2090" s="2" t="s">
        <v>57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hidden="1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hidden="1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117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hidden="1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3227</v>
      </c>
      <c r="AA2094" s="2" t="s">
        <v>75</v>
      </c>
      <c r="AB2094" s="2" t="s">
        <v>76</v>
      </c>
      <c r="AC2094" s="2" t="s">
        <v>77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hidden="1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hidden="1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3227</v>
      </c>
      <c r="AA2097" s="2" t="s">
        <v>96</v>
      </c>
      <c r="AB2097" s="2" t="s">
        <v>76</v>
      </c>
      <c r="AC2097" s="2" t="s">
        <v>93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hidden="1" x14ac:dyDescent="0.2">
      <c r="A2098" s="2">
        <v>2025</v>
      </c>
      <c r="B2098" s="2">
        <v>11</v>
      </c>
      <c r="C2098" s="2" t="s">
        <v>3440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3281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hidden="1" x14ac:dyDescent="0.2">
      <c r="A2099" s="2">
        <v>2025</v>
      </c>
      <c r="B2099" s="2">
        <v>11</v>
      </c>
      <c r="C2099" s="2" t="s">
        <v>3440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3281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hidden="1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3227</v>
      </c>
      <c r="AA2100" s="2" t="s">
        <v>46</v>
      </c>
      <c r="AB2100" s="2" t="s">
        <v>47</v>
      </c>
      <c r="AC2100" s="2" t="s">
        <v>57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3227</v>
      </c>
      <c r="AA2101" s="2" t="s">
        <v>46</v>
      </c>
      <c r="AB2101" s="2" t="s">
        <v>60</v>
      </c>
      <c r="AC2101" s="2" t="s">
        <v>57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3227</v>
      </c>
      <c r="AA2102" s="2" t="s">
        <v>46</v>
      </c>
      <c r="AB2102" s="2" t="s">
        <v>67</v>
      </c>
      <c r="AC2102" s="2" t="s">
        <v>57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3227</v>
      </c>
      <c r="AA2103" s="2" t="s">
        <v>75</v>
      </c>
      <c r="AB2103" s="2" t="s">
        <v>76</v>
      </c>
      <c r="AC2103" s="2" t="s">
        <v>77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3227</v>
      </c>
      <c r="AA2104" s="2" t="s">
        <v>96</v>
      </c>
      <c r="AB2104" s="2" t="s">
        <v>76</v>
      </c>
      <c r="AC2104" s="2" t="s">
        <v>93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hidden="1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hidden="1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hidden="1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3227</v>
      </c>
      <c r="AA2107" s="2" t="s">
        <v>46</v>
      </c>
      <c r="AB2107" s="2" t="s">
        <v>60</v>
      </c>
      <c r="AC2107" s="2" t="s">
        <v>3332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hidden="1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3227</v>
      </c>
      <c r="AA2108" s="2" t="s">
        <v>46</v>
      </c>
      <c r="AB2108" s="2" t="s">
        <v>60</v>
      </c>
      <c r="AC2108" s="2" t="s">
        <v>3332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hidden="1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hidden="1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hidden="1" x14ac:dyDescent="0.2">
      <c r="A2111" s="2">
        <v>2025</v>
      </c>
      <c r="B2111" s="2">
        <v>11</v>
      </c>
      <c r="C2111" s="2" t="s">
        <v>3442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3227</v>
      </c>
      <c r="AA2111" s="2" t="s">
        <v>46</v>
      </c>
      <c r="AB2111" s="2" t="s">
        <v>47</v>
      </c>
      <c r="AC2111" s="2" t="s">
        <v>57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hidden="1" x14ac:dyDescent="0.2">
      <c r="A2112" s="2">
        <v>2025</v>
      </c>
      <c r="B2112" s="2">
        <v>11</v>
      </c>
      <c r="C2112" s="2" t="s">
        <v>3442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3227</v>
      </c>
      <c r="AA2112" s="2" t="s">
        <v>46</v>
      </c>
      <c r="AB2112" s="2" t="s">
        <v>56</v>
      </c>
      <c r="AC2112" s="2" t="s">
        <v>57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hidden="1" x14ac:dyDescent="0.2">
      <c r="A2113" s="2">
        <v>2025</v>
      </c>
      <c r="B2113" s="2">
        <v>11</v>
      </c>
      <c r="C2113" s="2" t="s">
        <v>3442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3227</v>
      </c>
      <c r="AA2113" s="2" t="s">
        <v>46</v>
      </c>
      <c r="AB2113" s="2" t="s">
        <v>47</v>
      </c>
      <c r="AC2113" s="2" t="s">
        <v>57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hidden="1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hidden="1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hidden="1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hidden="1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3227</v>
      </c>
      <c r="AA2119" s="2" t="s">
        <v>75</v>
      </c>
      <c r="AB2119" s="2" t="s">
        <v>76</v>
      </c>
      <c r="AC2119" s="2" t="s">
        <v>77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3227</v>
      </c>
      <c r="AA2120" s="2" t="s">
        <v>96</v>
      </c>
      <c r="AB2120" s="2" t="s">
        <v>76</v>
      </c>
      <c r="AC2120" s="2" t="s">
        <v>93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hidden="1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3227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hidden="1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117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hidden="1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3227</v>
      </c>
      <c r="AA2123" s="2" t="s">
        <v>46</v>
      </c>
      <c r="AB2123" s="2" t="s">
        <v>56</v>
      </c>
      <c r="AC2123" s="2" t="s">
        <v>57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104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hidden="1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hidden="1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104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hidden="1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117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hidden="1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hidden="1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hidden="1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3123</v>
      </c>
      <c r="K2130" s="2">
        <v>965864665</v>
      </c>
      <c r="L2130" s="2" t="s">
        <v>344</v>
      </c>
      <c r="M2130" s="2" t="s">
        <v>80</v>
      </c>
      <c r="O2130" s="2" t="s">
        <v>3127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3227</v>
      </c>
      <c r="AA2130" s="2" t="s">
        <v>75</v>
      </c>
      <c r="AB2130" s="2" t="s">
        <v>76</v>
      </c>
      <c r="AC2130" s="2" t="s">
        <v>77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3123</v>
      </c>
      <c r="K2131" s="2">
        <v>965864665</v>
      </c>
      <c r="L2131" s="2" t="s">
        <v>344</v>
      </c>
      <c r="M2131" s="2" t="s">
        <v>80</v>
      </c>
      <c r="O2131" s="2" t="s">
        <v>3127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3227</v>
      </c>
      <c r="AA2131" s="2" t="s">
        <v>96</v>
      </c>
      <c r="AB2131" s="2" t="s">
        <v>76</v>
      </c>
      <c r="AC2131" s="2" t="s">
        <v>93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hidden="1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3227</v>
      </c>
      <c r="AA2132" s="2" t="s">
        <v>46</v>
      </c>
      <c r="AB2132" s="2" t="s">
        <v>60</v>
      </c>
      <c r="AC2132" s="2" t="s">
        <v>57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3227</v>
      </c>
      <c r="AA2133" s="2" t="s">
        <v>46</v>
      </c>
      <c r="AB2133" s="2" t="s">
        <v>60</v>
      </c>
      <c r="AC2133" s="2" t="s">
        <v>57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299"/>
        <v>-0.2</v>
      </c>
      <c r="Z2134" s="2" t="s">
        <v>169</v>
      </c>
      <c r="AA2134" s="2" t="s">
        <v>169</v>
      </c>
      <c r="AF2134" s="2">
        <f t="shared" si="295"/>
        <v>0</v>
      </c>
      <c r="AJ2134" s="2">
        <f t="shared" si="296"/>
        <v>0</v>
      </c>
      <c r="AK2134" s="2">
        <f t="shared" si="300"/>
        <v>-1</v>
      </c>
      <c r="AL2134" s="5">
        <f t="shared" si="298"/>
        <v>-0.2</v>
      </c>
    </row>
    <row r="2135" spans="1:38" hidden="1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hidden="1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hidden="1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3227</v>
      </c>
      <c r="AA2137" s="2" t="s">
        <v>46</v>
      </c>
      <c r="AB2137" s="2" t="s">
        <v>47</v>
      </c>
      <c r="AC2137" s="2" t="s">
        <v>57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3227</v>
      </c>
      <c r="AA2138" s="2" t="s">
        <v>46</v>
      </c>
      <c r="AB2138" s="2" t="s">
        <v>47</v>
      </c>
      <c r="AC2138" s="2" t="s">
        <v>57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3227</v>
      </c>
      <c r="AA2139" s="2" t="s">
        <v>46</v>
      </c>
      <c r="AB2139" s="2" t="s">
        <v>67</v>
      </c>
      <c r="AC2139" s="2" t="s">
        <v>57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3227</v>
      </c>
      <c r="AA2140" s="2" t="s">
        <v>46</v>
      </c>
      <c r="AB2140" s="2" t="s">
        <v>47</v>
      </c>
      <c r="AC2140" s="2" t="s">
        <v>57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3227</v>
      </c>
      <c r="AA2141" s="2" t="s">
        <v>46</v>
      </c>
      <c r="AB2141" s="2" t="s">
        <v>56</v>
      </c>
      <c r="AC2141" s="2" t="s">
        <v>57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117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hidden="1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117</v>
      </c>
      <c r="AA2143" s="2" t="s">
        <v>317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hidden="1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hidden="1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117</v>
      </c>
      <c r="AA2146" s="2" t="s">
        <v>317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hidden="1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3227</v>
      </c>
      <c r="AA2147" s="2" t="s">
        <v>46</v>
      </c>
      <c r="AB2147" s="2" t="s">
        <v>60</v>
      </c>
      <c r="AC2147" s="2" t="s">
        <v>3332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hidden="1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3227</v>
      </c>
      <c r="AA2148" s="2" t="s">
        <v>46</v>
      </c>
      <c r="AB2148" s="2" t="s">
        <v>60</v>
      </c>
      <c r="AC2148" s="2" t="s">
        <v>3332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hidden="1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3227</v>
      </c>
      <c r="AA2149" s="2" t="s">
        <v>46</v>
      </c>
      <c r="AB2149" s="2" t="s">
        <v>60</v>
      </c>
      <c r="AC2149" s="2" t="s">
        <v>3332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hidden="1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3227</v>
      </c>
      <c r="AA2150" s="2" t="s">
        <v>46</v>
      </c>
      <c r="AB2150" s="2" t="s">
        <v>60</v>
      </c>
      <c r="AC2150" s="2" t="s">
        <v>3332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hidden="1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hidden="1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hidden="1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3227</v>
      </c>
      <c r="AA2153" s="2" t="s">
        <v>46</v>
      </c>
      <c r="AB2153" s="2" t="s">
        <v>47</v>
      </c>
      <c r="AC2153" s="2" t="s">
        <v>57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hidden="1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3227</v>
      </c>
      <c r="AA2154" s="2" t="s">
        <v>46</v>
      </c>
      <c r="AB2154" s="2" t="s">
        <v>47</v>
      </c>
      <c r="AC2154" s="2" t="s">
        <v>57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hidden="1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3227</v>
      </c>
      <c r="AA2155" s="2" t="s">
        <v>46</v>
      </c>
      <c r="AB2155" s="2" t="s">
        <v>67</v>
      </c>
      <c r="AC2155" s="2" t="s">
        <v>57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3176</v>
      </c>
      <c r="K2156" s="2">
        <v>911577458</v>
      </c>
      <c r="L2156" s="2" t="s">
        <v>177</v>
      </c>
      <c r="M2156" s="2" t="s">
        <v>41</v>
      </c>
      <c r="O2156" s="2" t="s">
        <v>3179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3227</v>
      </c>
      <c r="AA2156" s="2" t="s">
        <v>46</v>
      </c>
      <c r="AB2156" s="2" t="s">
        <v>47</v>
      </c>
      <c r="AC2156" s="2" t="s">
        <v>57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3176</v>
      </c>
      <c r="K2157" s="2">
        <v>911577458</v>
      </c>
      <c r="L2157" s="2" t="s">
        <v>177</v>
      </c>
      <c r="M2157" s="2" t="s">
        <v>41</v>
      </c>
      <c r="O2157" s="2" t="s">
        <v>3179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3227</v>
      </c>
      <c r="AA2157" s="2" t="s">
        <v>46</v>
      </c>
      <c r="AB2157" s="2" t="s">
        <v>47</v>
      </c>
      <c r="AC2157" s="2" t="s">
        <v>57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3176</v>
      </c>
      <c r="K2158" s="2">
        <v>911577458</v>
      </c>
      <c r="L2158" s="2" t="s">
        <v>177</v>
      </c>
      <c r="M2158" s="2" t="s">
        <v>41</v>
      </c>
      <c r="O2158" s="2" t="s">
        <v>3179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3227</v>
      </c>
      <c r="AA2158" s="2" t="s">
        <v>46</v>
      </c>
      <c r="AB2158" s="2" t="s">
        <v>67</v>
      </c>
      <c r="AC2158" s="2" t="s">
        <v>57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hidden="1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117</v>
      </c>
      <c r="AA2161" s="2" t="s">
        <v>1310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hidden="1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3227</v>
      </c>
      <c r="AA2162" s="2" t="s">
        <v>75</v>
      </c>
      <c r="AB2162" s="2" t="s">
        <v>76</v>
      </c>
      <c r="AC2162" s="2" t="s">
        <v>77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3227</v>
      </c>
      <c r="AA2163" s="2" t="s">
        <v>96</v>
      </c>
      <c r="AB2163" s="2" t="s">
        <v>76</v>
      </c>
      <c r="AC2163" s="2" t="s">
        <v>93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hidden="1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hidden="1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119</v>
      </c>
      <c r="AA2166" s="2" t="s">
        <v>3380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hidden="1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117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hidden="1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hidden="1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hidden="1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hidden="1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hidden="1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3227</v>
      </c>
      <c r="AA2174" s="2" t="s">
        <v>46</v>
      </c>
      <c r="AB2174" s="2" t="s">
        <v>56</v>
      </c>
      <c r="AC2174" s="2" t="s">
        <v>57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3227</v>
      </c>
      <c r="AA2175" s="2" t="s">
        <v>46</v>
      </c>
      <c r="AB2175" s="2" t="s">
        <v>60</v>
      </c>
      <c r="AC2175" s="2" t="s">
        <v>57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hidden="1" x14ac:dyDescent="0.2">
      <c r="A2176" s="2">
        <v>2025</v>
      </c>
      <c r="B2176" s="2">
        <v>11</v>
      </c>
      <c r="C2176" s="2" t="s">
        <v>3394</v>
      </c>
      <c r="D2176" s="15" t="s">
        <v>3415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3230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3230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hidden="1" x14ac:dyDescent="0.2">
      <c r="A2177" s="2">
        <v>2025</v>
      </c>
      <c r="B2177" s="2">
        <v>11</v>
      </c>
      <c r="C2177" s="2" t="s">
        <v>3394</v>
      </c>
      <c r="D2177" s="15" t="s">
        <v>3415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3230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3230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hidden="1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hidden="1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3227</v>
      </c>
      <c r="AA2180" s="2" t="s">
        <v>75</v>
      </c>
      <c r="AB2180" s="2" t="s">
        <v>76</v>
      </c>
      <c r="AC2180" s="2" t="s">
        <v>77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3227</v>
      </c>
      <c r="AA2181" s="2" t="s">
        <v>96</v>
      </c>
      <c r="AB2181" s="2" t="s">
        <v>76</v>
      </c>
      <c r="AC2181" s="2" t="s">
        <v>93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hidden="1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3227</v>
      </c>
      <c r="AA2182" s="2" t="s">
        <v>46</v>
      </c>
      <c r="AB2182" s="2" t="s">
        <v>47</v>
      </c>
      <c r="AC2182" s="2" t="s">
        <v>57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3227</v>
      </c>
      <c r="AA2183" s="2" t="s">
        <v>46</v>
      </c>
      <c r="AB2183" s="2" t="s">
        <v>56</v>
      </c>
      <c r="AC2183" s="2" t="s">
        <v>57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3227</v>
      </c>
      <c r="AA2184" s="2" t="s">
        <v>46</v>
      </c>
      <c r="AB2184" s="2" t="s">
        <v>60</v>
      </c>
      <c r="AC2184" s="2" t="s">
        <v>57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3227</v>
      </c>
      <c r="AA2185" s="2" t="s">
        <v>46</v>
      </c>
      <c r="AB2185" s="2" t="s">
        <v>67</v>
      </c>
      <c r="AC2185" s="2" t="s">
        <v>57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3227</v>
      </c>
      <c r="AA2186" s="2" t="s">
        <v>75</v>
      </c>
      <c r="AB2186" s="2" t="s">
        <v>76</v>
      </c>
      <c r="AC2186" s="2" t="s">
        <v>77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3227</v>
      </c>
      <c r="AA2187" s="2" t="s">
        <v>1041</v>
      </c>
      <c r="AB2187" s="2" t="s">
        <v>2031</v>
      </c>
      <c r="AC2187" s="2" t="s">
        <v>1038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3227</v>
      </c>
      <c r="AA2188" s="2" t="s">
        <v>1041</v>
      </c>
      <c r="AB2188" s="2" t="s">
        <v>2031</v>
      </c>
      <c r="AC2188" s="2" t="s">
        <v>1038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hidden="1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3227</v>
      </c>
      <c r="AA2191" s="2" t="s">
        <v>96</v>
      </c>
      <c r="AB2191" s="2" t="s">
        <v>76</v>
      </c>
      <c r="AC2191" s="2" t="s">
        <v>93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hidden="1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hidden="1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hidden="1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3227</v>
      </c>
      <c r="AA2196" s="2" t="s">
        <v>46</v>
      </c>
      <c r="AB2196" s="2" t="s">
        <v>60</v>
      </c>
      <c r="AC2196" s="2" t="s">
        <v>3332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hidden="1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hidden="1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3227</v>
      </c>
      <c r="AA2200" s="2" t="s">
        <v>71</v>
      </c>
      <c r="AB2200" s="2" t="s">
        <v>119</v>
      </c>
      <c r="AC2200" s="2" t="s">
        <v>119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119</v>
      </c>
      <c r="AA2201" s="2" t="s">
        <v>492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hidden="1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hidden="1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3227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hidden="1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3227</v>
      </c>
      <c r="AA2204" s="2" t="s">
        <v>46</v>
      </c>
      <c r="AB2204" s="2" t="s">
        <v>60</v>
      </c>
      <c r="AC2204" s="2" t="s">
        <v>3332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3227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hidden="1" x14ac:dyDescent="0.2">
      <c r="A2206" s="2">
        <v>2025</v>
      </c>
      <c r="B2206" s="2">
        <v>11</v>
      </c>
      <c r="C2206" s="2" t="s">
        <v>3394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3227</v>
      </c>
      <c r="AA2206" s="2" t="s">
        <v>71</v>
      </c>
      <c r="AB2206" s="2" t="s">
        <v>119</v>
      </c>
      <c r="AC2206" s="2" t="s">
        <v>119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3394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3227</v>
      </c>
      <c r="AA2207" s="2" t="s">
        <v>71</v>
      </c>
      <c r="AB2207" s="2" t="s">
        <v>119</v>
      </c>
      <c r="AC2207" s="2" t="s">
        <v>119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3227</v>
      </c>
      <c r="AA2208" s="2" t="s">
        <v>71</v>
      </c>
      <c r="AB2208" s="2" t="s">
        <v>119</v>
      </c>
      <c r="AC2208" s="2" t="s">
        <v>119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3227</v>
      </c>
      <c r="AA2209" s="2" t="s">
        <v>71</v>
      </c>
      <c r="AB2209" s="2" t="s">
        <v>119</v>
      </c>
      <c r="AC2209" s="2" t="s">
        <v>119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hidden="1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3227</v>
      </c>
      <c r="AA2210" s="2" t="s">
        <v>71</v>
      </c>
      <c r="AB2210" s="2" t="s">
        <v>119</v>
      </c>
      <c r="AC2210" s="2" t="s">
        <v>119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hidden="1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3227</v>
      </c>
      <c r="AA2211" s="2" t="s">
        <v>71</v>
      </c>
      <c r="AB2211" s="2" t="s">
        <v>119</v>
      </c>
      <c r="AC2211" s="2" t="s">
        <v>119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hidden="1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3227</v>
      </c>
      <c r="AA2212" s="2" t="s">
        <v>75</v>
      </c>
      <c r="AB2212" s="2" t="s">
        <v>76</v>
      </c>
      <c r="AC2212" s="2" t="s">
        <v>77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3227</v>
      </c>
      <c r="AA2213" s="2" t="s">
        <v>96</v>
      </c>
      <c r="AB2213" s="2" t="s">
        <v>76</v>
      </c>
      <c r="AC2213" s="2" t="s">
        <v>93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hidden="1" x14ac:dyDescent="0.2">
      <c r="A2214" s="2">
        <v>2025</v>
      </c>
      <c r="B2214" s="2">
        <v>11</v>
      </c>
      <c r="D2214" s="2" t="s">
        <v>2049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hidden="1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3227</v>
      </c>
      <c r="AA2215" s="2" t="s">
        <v>75</v>
      </c>
      <c r="AB2215" s="2" t="s">
        <v>76</v>
      </c>
      <c r="AC2215" s="2" t="s">
        <v>77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3227</v>
      </c>
      <c r="AA2216" s="2" t="s">
        <v>96</v>
      </c>
      <c r="AB2216" s="2" t="s">
        <v>76</v>
      </c>
      <c r="AC2216" s="2" t="s">
        <v>93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hidden="1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3227</v>
      </c>
      <c r="AA2217" s="2" t="s">
        <v>75</v>
      </c>
      <c r="AB2217" s="2" t="s">
        <v>76</v>
      </c>
      <c r="AC2217" s="2" t="s">
        <v>77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6"/>
        <v>0</v>
      </c>
      <c r="AJ2218" s="2">
        <f t="shared" si="307"/>
        <v>0</v>
      </c>
    </row>
    <row r="2219" spans="1:38" hidden="1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1">(T2219-W2219)/T2219</f>
        <v>0</v>
      </c>
      <c r="Z2219" s="2" t="s">
        <v>3227</v>
      </c>
      <c r="AA2219" s="2" t="s">
        <v>96</v>
      </c>
      <c r="AB2219" s="2" t="s">
        <v>76</v>
      </c>
      <c r="AC2219" s="2" t="s">
        <v>93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hidden="1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104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hidden="1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3165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3227</v>
      </c>
      <c r="AA2221" s="2" t="s">
        <v>1041</v>
      </c>
      <c r="AB2221" s="2" t="s">
        <v>1318</v>
      </c>
      <c r="AC2221" s="2" t="s">
        <v>1038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169</v>
      </c>
      <c r="AA2222" s="2" t="s">
        <v>169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hidden="1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3227</v>
      </c>
      <c r="AA2223" s="2" t="s">
        <v>75</v>
      </c>
      <c r="AB2223" s="2" t="s">
        <v>76</v>
      </c>
      <c r="AC2223" s="2" t="s">
        <v>77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3227</v>
      </c>
      <c r="AA2224" s="2" t="s">
        <v>96</v>
      </c>
      <c r="AB2224" s="2" t="s">
        <v>76</v>
      </c>
      <c r="AC2224" s="2" t="s">
        <v>93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hidden="1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3227</v>
      </c>
      <c r="AA2225" s="2" t="s">
        <v>75</v>
      </c>
      <c r="AB2225" s="2" t="s">
        <v>76</v>
      </c>
      <c r="AC2225" s="2" t="s">
        <v>77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3227</v>
      </c>
      <c r="AA2226" s="2" t="s">
        <v>75</v>
      </c>
      <c r="AB2226" s="2" t="s">
        <v>76</v>
      </c>
      <c r="AC2226" s="2" t="s">
        <v>77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3227</v>
      </c>
      <c r="AA2227" s="2" t="s">
        <v>75</v>
      </c>
      <c r="AB2227" s="2" t="s">
        <v>76</v>
      </c>
      <c r="AC2227" s="2" t="s">
        <v>77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1"/>
        <v>-0.53333333333333333</v>
      </c>
      <c r="Z2228" s="2" t="s">
        <v>169</v>
      </c>
      <c r="AA2228" s="2" t="s">
        <v>169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3227</v>
      </c>
      <c r="AA2229" s="2" t="s">
        <v>96</v>
      </c>
      <c r="AB2229" s="2" t="s">
        <v>76</v>
      </c>
      <c r="AC2229" s="2" t="s">
        <v>93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3226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3227</v>
      </c>
      <c r="AA2230" s="2" t="s">
        <v>71</v>
      </c>
      <c r="AB2230" s="2" t="s">
        <v>1600</v>
      </c>
      <c r="AC2230" s="2" t="s">
        <v>1600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3227</v>
      </c>
      <c r="AA2232" s="2" t="s">
        <v>46</v>
      </c>
      <c r="AB2232" s="2" t="s">
        <v>56</v>
      </c>
      <c r="AC2232" s="2" t="s">
        <v>57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hidden="1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3227</v>
      </c>
      <c r="AA2233" s="2" t="s">
        <v>46</v>
      </c>
      <c r="AB2233" s="2" t="s">
        <v>56</v>
      </c>
      <c r="AC2233" s="2" t="s">
        <v>57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hidden="1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3227</v>
      </c>
      <c r="AA2234" s="2" t="s">
        <v>46</v>
      </c>
      <c r="AB2234" s="2" t="s">
        <v>56</v>
      </c>
      <c r="AC2234" s="2" t="s">
        <v>57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hidden="1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3227</v>
      </c>
      <c r="AA2235" s="2" t="s">
        <v>46</v>
      </c>
      <c r="AB2235" s="2" t="s">
        <v>56</v>
      </c>
      <c r="AC2235" s="2" t="s">
        <v>57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hidden="1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3227</v>
      </c>
      <c r="AA2236" s="2" t="s">
        <v>46</v>
      </c>
      <c r="AB2236" s="2" t="s">
        <v>56</v>
      </c>
      <c r="AC2236" s="2" t="s">
        <v>57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hidden="1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3227</v>
      </c>
      <c r="AA2237" s="2" t="s">
        <v>46</v>
      </c>
      <c r="AB2237" s="2" t="s">
        <v>56</v>
      </c>
      <c r="AC2237" s="2" t="s">
        <v>57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3227</v>
      </c>
      <c r="AA2238" s="2" t="s">
        <v>75</v>
      </c>
      <c r="AB2238" s="2" t="s">
        <v>76</v>
      </c>
      <c r="AC2238" s="2" t="s">
        <v>77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3227</v>
      </c>
      <c r="AA2239" s="2" t="s">
        <v>96</v>
      </c>
      <c r="AB2239" s="2" t="s">
        <v>76</v>
      </c>
      <c r="AC2239" s="2" t="s">
        <v>93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hidden="1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3227</v>
      </c>
      <c r="AA2240" s="2" t="s">
        <v>46</v>
      </c>
      <c r="AB2240" s="2" t="s">
        <v>60</v>
      </c>
      <c r="AC2240" s="2" t="s">
        <v>57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3227</v>
      </c>
      <c r="AA2241" s="2" t="s">
        <v>87</v>
      </c>
      <c r="AB2241" s="2" t="s">
        <v>90</v>
      </c>
      <c r="AC2241" s="2" t="s">
        <v>84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hidden="1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hidden="1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104</v>
      </c>
      <c r="AC2243" s="2" t="s">
        <v>3231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hidden="1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117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hidden="1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3227</v>
      </c>
      <c r="AA2246" s="2" t="s">
        <v>46</v>
      </c>
      <c r="AB2246" s="2" t="s">
        <v>60</v>
      </c>
      <c r="AC2246" s="2" t="s">
        <v>57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3227</v>
      </c>
      <c r="AA2247" s="2" t="s">
        <v>46</v>
      </c>
      <c r="AB2247" s="2" t="s">
        <v>60</v>
      </c>
      <c r="AC2247" s="2" t="s">
        <v>57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3227</v>
      </c>
      <c r="AA2248" s="2" t="s">
        <v>46</v>
      </c>
      <c r="AB2248" s="2" t="s">
        <v>60</v>
      </c>
      <c r="AC2248" s="2" t="s">
        <v>57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hidden="1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104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hidden="1" x14ac:dyDescent="0.2">
      <c r="A2250" s="2">
        <v>2025</v>
      </c>
      <c r="B2250" s="2">
        <v>11</v>
      </c>
      <c r="D2250" s="2" t="s">
        <v>582</v>
      </c>
      <c r="E2250" s="2" t="s">
        <v>108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3227</v>
      </c>
      <c r="AA2250" s="2" t="s">
        <v>75</v>
      </c>
      <c r="AB2250" s="2" t="s">
        <v>76</v>
      </c>
      <c r="AC2250" s="2" t="s">
        <v>77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582</v>
      </c>
      <c r="E2251" s="2" t="s">
        <v>108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3227</v>
      </c>
      <c r="AA2251" s="2" t="s">
        <v>96</v>
      </c>
      <c r="AB2251" s="2" t="s">
        <v>76</v>
      </c>
      <c r="AC2251" s="2" t="s">
        <v>93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hidden="1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hidden="1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3227</v>
      </c>
      <c r="AA2253" s="2" t="s">
        <v>46</v>
      </c>
      <c r="AB2253" s="2" t="s">
        <v>47</v>
      </c>
      <c r="AC2253" s="2" t="s">
        <v>57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3227</v>
      </c>
      <c r="AA2254" s="2" t="s">
        <v>46</v>
      </c>
      <c r="AB2254" s="2" t="s">
        <v>56</v>
      </c>
      <c r="AC2254" s="2" t="s">
        <v>57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104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hidden="1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3227</v>
      </c>
      <c r="AA2256" s="2" t="s">
        <v>46</v>
      </c>
      <c r="AB2256" s="2" t="s">
        <v>56</v>
      </c>
      <c r="AC2256" s="2" t="s">
        <v>57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3227</v>
      </c>
      <c r="AA2257" s="2" t="s">
        <v>46</v>
      </c>
      <c r="AB2257" s="2" t="s">
        <v>60</v>
      </c>
      <c r="AC2257" s="2" t="s">
        <v>57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3227</v>
      </c>
      <c r="AA2258" s="2" t="s">
        <v>46</v>
      </c>
      <c r="AB2258" s="2" t="s">
        <v>47</v>
      </c>
      <c r="AC2258" s="2" t="s">
        <v>57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hidden="1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3227</v>
      </c>
      <c r="AA2259" s="2" t="s">
        <v>75</v>
      </c>
      <c r="AB2259" s="2" t="s">
        <v>76</v>
      </c>
      <c r="AC2259" s="2" t="s">
        <v>77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3203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3227</v>
      </c>
      <c r="AA2260" s="2" t="s">
        <v>75</v>
      </c>
      <c r="AB2260" s="2" t="s">
        <v>76</v>
      </c>
      <c r="AC2260" s="2" t="s">
        <v>77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3227</v>
      </c>
      <c r="AA2261" s="2" t="s">
        <v>96</v>
      </c>
      <c r="AB2261" s="2" t="s">
        <v>76</v>
      </c>
      <c r="AC2261" s="2" t="s">
        <v>93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hidden="1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3227</v>
      </c>
      <c r="AA2262" s="2" t="s">
        <v>87</v>
      </c>
      <c r="AB2262" s="2" t="s">
        <v>90</v>
      </c>
      <c r="AC2262" s="2" t="s">
        <v>84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3227</v>
      </c>
      <c r="AA2263" s="2" t="s">
        <v>87</v>
      </c>
      <c r="AB2263" s="2" t="s">
        <v>90</v>
      </c>
      <c r="AC2263" s="2" t="s">
        <v>84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hidden="1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117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hidden="1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hidden="1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hidden="1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104</v>
      </c>
      <c r="AC2268" s="2" t="s">
        <v>3231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hidden="1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hidden="1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3227</v>
      </c>
      <c r="AA2270" s="2" t="s">
        <v>46</v>
      </c>
      <c r="AB2270" s="2" t="s">
        <v>60</v>
      </c>
      <c r="AC2270" s="2" t="s">
        <v>57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3227</v>
      </c>
      <c r="AA2271" s="2" t="s">
        <v>75</v>
      </c>
      <c r="AB2271" s="2" t="s">
        <v>76</v>
      </c>
      <c r="AC2271" s="2" t="s">
        <v>77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3227</v>
      </c>
      <c r="AA2272" s="2" t="s">
        <v>96</v>
      </c>
      <c r="AB2272" s="2" t="s">
        <v>76</v>
      </c>
      <c r="AC2272" s="2" t="s">
        <v>93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hidden="1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hidden="1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hidden="1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hidden="1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hidden="1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3227</v>
      </c>
      <c r="AA2278" s="2" t="s">
        <v>46</v>
      </c>
      <c r="AB2278" s="2" t="s">
        <v>47</v>
      </c>
      <c r="AC2278" s="2" t="s">
        <v>57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3227</v>
      </c>
      <c r="AA2279" s="2" t="s">
        <v>46</v>
      </c>
      <c r="AB2279" s="2" t="s">
        <v>47</v>
      </c>
      <c r="AC2279" s="2" t="s">
        <v>57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3227</v>
      </c>
      <c r="AA2280" s="2" t="s">
        <v>46</v>
      </c>
      <c r="AB2280" s="2" t="s">
        <v>47</v>
      </c>
      <c r="AC2280" s="2" t="s">
        <v>57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3227</v>
      </c>
      <c r="AA2281" s="2" t="s">
        <v>46</v>
      </c>
      <c r="AB2281" s="2" t="s">
        <v>56</v>
      </c>
      <c r="AC2281" s="2" t="s">
        <v>57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3227</v>
      </c>
      <c r="AA2282" s="2" t="s">
        <v>46</v>
      </c>
      <c r="AB2282" s="2" t="s">
        <v>56</v>
      </c>
      <c r="AC2282" s="2" t="s">
        <v>57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3227</v>
      </c>
      <c r="AA2283" s="2" t="s">
        <v>46</v>
      </c>
      <c r="AB2283" s="2" t="s">
        <v>56</v>
      </c>
      <c r="AC2283" s="2" t="s">
        <v>57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hidden="1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3227</v>
      </c>
      <c r="AA2284" s="2" t="s">
        <v>46</v>
      </c>
      <c r="AB2284" s="2" t="s">
        <v>56</v>
      </c>
      <c r="AC2284" s="2" t="s">
        <v>57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hidden="1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3227</v>
      </c>
      <c r="AA2285" s="2" t="s">
        <v>46</v>
      </c>
      <c r="AB2285" s="2" t="s">
        <v>56</v>
      </c>
      <c r="AC2285" s="2" t="s">
        <v>57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hidden="1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3227</v>
      </c>
      <c r="AA2286" s="2" t="s">
        <v>46</v>
      </c>
      <c r="AB2286" s="2" t="s">
        <v>56</v>
      </c>
      <c r="AC2286" s="2" t="s">
        <v>57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hidden="1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3227</v>
      </c>
      <c r="AA2287" s="2" t="s">
        <v>46</v>
      </c>
      <c r="AB2287" s="2" t="s">
        <v>56</v>
      </c>
      <c r="AC2287" s="2" t="s">
        <v>57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hidden="1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3227</v>
      </c>
      <c r="AA2288" s="2" t="s">
        <v>46</v>
      </c>
      <c r="AB2288" s="2" t="s">
        <v>56</v>
      </c>
      <c r="AC2288" s="2" t="s">
        <v>57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hidden="1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3227</v>
      </c>
      <c r="AA2289" s="2" t="s">
        <v>46</v>
      </c>
      <c r="AB2289" s="2" t="s">
        <v>60</v>
      </c>
      <c r="AC2289" s="2" t="s">
        <v>57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3227</v>
      </c>
      <c r="AA2290" s="2" t="s">
        <v>46</v>
      </c>
      <c r="AB2290" s="2" t="s">
        <v>47</v>
      </c>
      <c r="AC2290" s="2" t="s">
        <v>57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hidden="1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3227</v>
      </c>
      <c r="AA2291" s="2" t="s">
        <v>46</v>
      </c>
      <c r="AB2291" s="2" t="s">
        <v>67</v>
      </c>
      <c r="AC2291" s="2" t="s">
        <v>57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3227</v>
      </c>
      <c r="AA2292" s="2" t="s">
        <v>87</v>
      </c>
      <c r="AB2292" s="2" t="s">
        <v>90</v>
      </c>
      <c r="AC2292" s="2" t="s">
        <v>84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3227</v>
      </c>
      <c r="AA2293" s="2" t="s">
        <v>87</v>
      </c>
      <c r="AB2293" s="2" t="s">
        <v>90</v>
      </c>
      <c r="AC2293" s="2" t="s">
        <v>84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3227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3227</v>
      </c>
      <c r="AA2295" s="2" t="s">
        <v>46</v>
      </c>
      <c r="AB2295" s="2" t="s">
        <v>60</v>
      </c>
      <c r="AC2295" s="2" t="s">
        <v>3332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3227</v>
      </c>
      <c r="AA2296" s="2" t="s">
        <v>46</v>
      </c>
      <c r="AB2296" s="2" t="s">
        <v>60</v>
      </c>
      <c r="AC2296" s="2" t="s">
        <v>3332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3227</v>
      </c>
      <c r="AA2297" s="2" t="s">
        <v>46</v>
      </c>
      <c r="AB2297" s="2" t="s">
        <v>47</v>
      </c>
      <c r="AC2297" s="2" t="s">
        <v>57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3227</v>
      </c>
      <c r="AA2298" s="2" t="s">
        <v>46</v>
      </c>
      <c r="AB2298" s="2" t="s">
        <v>47</v>
      </c>
      <c r="AC2298" s="2" t="s">
        <v>57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3227</v>
      </c>
      <c r="AA2299" s="2" t="s">
        <v>46</v>
      </c>
      <c r="AB2299" s="2" t="s">
        <v>47</v>
      </c>
      <c r="AC2299" s="2" t="s">
        <v>57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3227</v>
      </c>
      <c r="AA2300" s="2" t="s">
        <v>46</v>
      </c>
      <c r="AB2300" s="2" t="s">
        <v>56</v>
      </c>
      <c r="AC2300" s="2" t="s">
        <v>57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3227</v>
      </c>
      <c r="AA2301" s="2" t="s">
        <v>75</v>
      </c>
      <c r="AB2301" s="2" t="s">
        <v>76</v>
      </c>
      <c r="AC2301" s="2" t="s">
        <v>77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3227</v>
      </c>
      <c r="AA2302" s="2" t="s">
        <v>75</v>
      </c>
      <c r="AB2302" s="2" t="s">
        <v>76</v>
      </c>
      <c r="AC2302" s="2" t="s">
        <v>1038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3386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3227</v>
      </c>
      <c r="AA2303" s="2" t="s">
        <v>2167</v>
      </c>
      <c r="AB2303" s="2" t="s">
        <v>2247</v>
      </c>
      <c r="AC2303" s="2" t="s">
        <v>3386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3387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3227</v>
      </c>
      <c r="AA2304" s="2" t="s">
        <v>1041</v>
      </c>
      <c r="AB2304" s="2" t="s">
        <v>1270</v>
      </c>
      <c r="AC2304" s="2" t="s">
        <v>3387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3387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3227</v>
      </c>
      <c r="AA2305" s="2" t="s">
        <v>1041</v>
      </c>
      <c r="AB2305" s="2" t="s">
        <v>1270</v>
      </c>
      <c r="AC2305" s="2" t="s">
        <v>3387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3387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3227</v>
      </c>
      <c r="AA2306" s="2" t="s">
        <v>1041</v>
      </c>
      <c r="AB2306" s="2" t="s">
        <v>1270</v>
      </c>
      <c r="AC2306" s="2" t="s">
        <v>3387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3386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3227</v>
      </c>
      <c r="AA2307" s="2" t="s">
        <v>2167</v>
      </c>
      <c r="AB2307" s="2" t="s">
        <v>2247</v>
      </c>
      <c r="AC2307" s="2" t="s">
        <v>3386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169</v>
      </c>
      <c r="AA2308" s="2" t="s">
        <v>169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3227</v>
      </c>
      <c r="AA2309" s="2" t="s">
        <v>96</v>
      </c>
      <c r="AB2309" s="2" t="s">
        <v>76</v>
      </c>
      <c r="AC2309" s="2" t="s">
        <v>93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hidden="1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hidden="1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104</v>
      </c>
      <c r="AA2311" s="2" t="s">
        <v>616</v>
      </c>
      <c r="AC2311" s="2" t="s">
        <v>114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hidden="1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104</v>
      </c>
      <c r="AA2313" s="2" t="s">
        <v>2095</v>
      </c>
      <c r="AB2313" s="2" t="s">
        <v>68</v>
      </c>
      <c r="AC2313" s="2" t="s">
        <v>3231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hidden="1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hidden="1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hidden="1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hidden="1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hidden="1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hidden="1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hidden="1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119</v>
      </c>
      <c r="AA2322" s="2" t="s">
        <v>3380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hidden="1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hidden="1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hidden="1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hidden="1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117</v>
      </c>
      <c r="AA2327" s="2" t="s">
        <v>118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hidden="1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hidden="1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3227</v>
      </c>
      <c r="AA2329" s="2" t="s">
        <v>71</v>
      </c>
      <c r="AB2329" s="2" t="s">
        <v>119</v>
      </c>
      <c r="AC2329" s="2" t="s">
        <v>119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hidden="1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3227</v>
      </c>
      <c r="AA2330" s="2" t="s">
        <v>46</v>
      </c>
      <c r="AB2330" s="2" t="s">
        <v>47</v>
      </c>
      <c r="AC2330" s="2" t="s">
        <v>57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hidden="1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3227</v>
      </c>
      <c r="AA2331" s="2" t="s">
        <v>46</v>
      </c>
      <c r="AB2331" s="2" t="s">
        <v>47</v>
      </c>
      <c r="AC2331" s="2" t="s">
        <v>57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hidden="1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3227</v>
      </c>
      <c r="AA2332" s="2" t="s">
        <v>46</v>
      </c>
      <c r="AB2332" s="2" t="s">
        <v>47</v>
      </c>
      <c r="AC2332" s="2" t="s">
        <v>57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hidden="1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hidden="1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hidden="1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hidden="1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3227</v>
      </c>
      <c r="AA2336" s="2" t="s">
        <v>46</v>
      </c>
      <c r="AB2336" s="2" t="s">
        <v>60</v>
      </c>
      <c r="AC2336" s="2" t="s">
        <v>57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hidden="1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3227</v>
      </c>
      <c r="AA2337" s="2" t="s">
        <v>46</v>
      </c>
      <c r="AB2337" s="2" t="s">
        <v>60</v>
      </c>
      <c r="AC2337" s="2" t="s">
        <v>57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3227</v>
      </c>
      <c r="AA2338" s="2" t="s">
        <v>46</v>
      </c>
      <c r="AB2338" s="2" t="s">
        <v>60</v>
      </c>
      <c r="AC2338" s="2" t="s">
        <v>57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hidden="1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hidden="1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hidden="1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117</v>
      </c>
      <c r="AA2344" s="2" t="s">
        <v>1310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hidden="1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3227</v>
      </c>
      <c r="AA2345" s="2" t="s">
        <v>46</v>
      </c>
      <c r="AB2345" s="2" t="s">
        <v>60</v>
      </c>
      <c r="AC2345" s="2" t="s">
        <v>57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hidden="1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hidden="1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3227</v>
      </c>
      <c r="AA2348" s="2" t="s">
        <v>46</v>
      </c>
      <c r="AB2348" s="2" t="s">
        <v>60</v>
      </c>
      <c r="AC2348" s="2" t="s">
        <v>57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3227</v>
      </c>
      <c r="AA2349" s="2" t="s">
        <v>46</v>
      </c>
      <c r="AB2349" s="2" t="s">
        <v>60</v>
      </c>
      <c r="AC2349" s="2" t="s">
        <v>57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119</v>
      </c>
      <c r="AA2350" s="2" t="s">
        <v>3380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hidden="1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3380</v>
      </c>
      <c r="AF2351" s="2">
        <f t="shared" si="325"/>
        <v>0</v>
      </c>
      <c r="AJ2351" s="2">
        <f t="shared" si="326"/>
        <v>0</v>
      </c>
    </row>
    <row r="2352" spans="1:38" hidden="1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hidden="1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hidden="1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hidden="1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hidden="1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104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hidden="1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104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hidden="1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119</v>
      </c>
      <c r="AA2358" s="2" t="s">
        <v>3380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hidden="1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hidden="1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hidden="1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3227</v>
      </c>
      <c r="AA2361" s="2" t="s">
        <v>46</v>
      </c>
      <c r="AB2361" s="2" t="s">
        <v>60</v>
      </c>
      <c r="AC2361" s="2" t="s">
        <v>57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hidden="1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3227</v>
      </c>
      <c r="AA2362" s="2" t="s">
        <v>46</v>
      </c>
      <c r="AB2362" s="2" t="s">
        <v>60</v>
      </c>
      <c r="AC2362" s="2" t="s">
        <v>57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hidden="1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3227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hidden="1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3227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hidden="1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hidden="1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3227</v>
      </c>
      <c r="AA2369" s="2" t="s">
        <v>46</v>
      </c>
      <c r="AB2369" s="2" t="s">
        <v>60</v>
      </c>
      <c r="AC2369" s="2" t="s">
        <v>57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3227</v>
      </c>
      <c r="AA2370" s="2" t="s">
        <v>46</v>
      </c>
      <c r="AB2370" s="2" t="s">
        <v>67</v>
      </c>
      <c r="AC2370" s="2" t="s">
        <v>57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3227</v>
      </c>
      <c r="AA2371" s="2" t="s">
        <v>46</v>
      </c>
      <c r="AB2371" s="2" t="s">
        <v>47</v>
      </c>
      <c r="AC2371" s="2" t="s">
        <v>57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3227</v>
      </c>
      <c r="AA2372" s="2" t="s">
        <v>46</v>
      </c>
      <c r="AB2372" s="2" t="s">
        <v>56</v>
      </c>
      <c r="AC2372" s="2" t="s">
        <v>57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3227</v>
      </c>
      <c r="AA2373" s="2" t="s">
        <v>46</v>
      </c>
      <c r="AB2373" s="2" t="s">
        <v>56</v>
      </c>
      <c r="AC2373" s="2" t="s">
        <v>57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hidden="1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3227</v>
      </c>
      <c r="AA2374" s="2" t="s">
        <v>46</v>
      </c>
      <c r="AB2374" s="2" t="s">
        <v>56</v>
      </c>
      <c r="AC2374" s="2" t="s">
        <v>57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hidden="1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3227</v>
      </c>
      <c r="AA2375" s="2" t="s">
        <v>46</v>
      </c>
      <c r="AB2375" s="2" t="s">
        <v>56</v>
      </c>
      <c r="AC2375" s="2" t="s">
        <v>57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hidden="1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3227</v>
      </c>
      <c r="AA2376" s="2" t="s">
        <v>46</v>
      </c>
      <c r="AB2376" s="2" t="s">
        <v>90</v>
      </c>
      <c r="AC2376" s="2" t="s">
        <v>57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3227</v>
      </c>
      <c r="AA2377" s="2" t="s">
        <v>87</v>
      </c>
      <c r="AB2377" s="2" t="s">
        <v>90</v>
      </c>
      <c r="AC2377" s="2" t="s">
        <v>84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hidden="1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hidden="1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3227</v>
      </c>
      <c r="AA2382" s="2" t="s">
        <v>46</v>
      </c>
      <c r="AB2382" s="2" t="s">
        <v>47</v>
      </c>
      <c r="AC2382" s="2" t="s">
        <v>57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3227</v>
      </c>
      <c r="AA2383" s="2" t="s">
        <v>87</v>
      </c>
      <c r="AB2383" s="2" t="s">
        <v>90</v>
      </c>
      <c r="AC2383" s="2" t="s">
        <v>84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3227</v>
      </c>
      <c r="AA2384" s="2" t="s">
        <v>87</v>
      </c>
      <c r="AB2384" s="2" t="s">
        <v>90</v>
      </c>
      <c r="AC2384" s="2" t="s">
        <v>84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hidden="1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119</v>
      </c>
      <c r="AA2385" s="2" t="s">
        <v>3380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hidden="1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hidden="1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hidden="1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hidden="1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hidden="1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hidden="1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hidden="1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119</v>
      </c>
      <c r="AA2392" s="2" t="s">
        <v>3380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hidden="1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3120</v>
      </c>
      <c r="K2393" s="2">
        <v>917575485</v>
      </c>
      <c r="L2393" s="2" t="s">
        <v>461</v>
      </c>
      <c r="M2393" s="2" t="s">
        <v>40</v>
      </c>
      <c r="O2393" s="2" t="s">
        <v>3121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117</v>
      </c>
      <c r="AA2393" s="2" t="s">
        <v>317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hidden="1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3120</v>
      </c>
      <c r="K2394" s="2">
        <v>917575485</v>
      </c>
      <c r="L2394" s="2" t="s">
        <v>461</v>
      </c>
      <c r="M2394" s="2" t="s">
        <v>40</v>
      </c>
      <c r="O2394" s="2" t="s">
        <v>3121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3227</v>
      </c>
      <c r="AA2395" s="2" t="s">
        <v>75</v>
      </c>
      <c r="AB2395" s="2" t="s">
        <v>76</v>
      </c>
      <c r="AC2395" s="2" t="s">
        <v>77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3227</v>
      </c>
      <c r="AA2396" s="2" t="s">
        <v>96</v>
      </c>
      <c r="AB2396" s="2" t="s">
        <v>76</v>
      </c>
      <c r="AC2396" s="2" t="s">
        <v>93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hidden="1" x14ac:dyDescent="0.2">
      <c r="A2397" s="2">
        <v>2025</v>
      </c>
      <c r="B2397" s="2">
        <v>12</v>
      </c>
      <c r="C2397" s="2" t="s">
        <v>3494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hidden="1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3227</v>
      </c>
      <c r="AA2398" s="2" t="s">
        <v>46</v>
      </c>
      <c r="AB2398" s="2" t="s">
        <v>56</v>
      </c>
      <c r="AC2398" s="2" t="s">
        <v>57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3227</v>
      </c>
      <c r="AA2399" s="2" t="s">
        <v>46</v>
      </c>
      <c r="AB2399" s="2" t="s">
        <v>56</v>
      </c>
      <c r="AC2399" s="2" t="s">
        <v>57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3227</v>
      </c>
      <c r="AA2400" s="2" t="s">
        <v>46</v>
      </c>
      <c r="AB2400" s="2" t="s">
        <v>56</v>
      </c>
      <c r="AC2400" s="2" t="s">
        <v>57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3227</v>
      </c>
      <c r="AA2401" s="2" t="s">
        <v>46</v>
      </c>
      <c r="AB2401" s="2" t="s">
        <v>60</v>
      </c>
      <c r="AC2401" s="2" t="s">
        <v>57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3227</v>
      </c>
      <c r="AA2402" s="2" t="s">
        <v>46</v>
      </c>
      <c r="AB2402" s="2" t="s">
        <v>67</v>
      </c>
      <c r="AC2402" s="2" t="s">
        <v>57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hidden="1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hidden="1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hidden="1" x14ac:dyDescent="0.2">
      <c r="A2408" s="2">
        <v>2025</v>
      </c>
      <c r="B2408" s="2">
        <v>12</v>
      </c>
      <c r="C2408" s="2" t="s">
        <v>3443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3227</v>
      </c>
      <c r="AA2408" s="2" t="s">
        <v>87</v>
      </c>
      <c r="AB2408" s="2" t="s">
        <v>90</v>
      </c>
      <c r="AC2408" s="2" t="s">
        <v>84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hidden="1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hidden="1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hidden="1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3227</v>
      </c>
      <c r="AA2412" s="2" t="s">
        <v>75</v>
      </c>
      <c r="AB2412" s="2" t="s">
        <v>76</v>
      </c>
      <c r="AC2412" s="2" t="s">
        <v>77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3227</v>
      </c>
      <c r="AA2413" s="2" t="s">
        <v>75</v>
      </c>
      <c r="AB2413" s="2" t="s">
        <v>76</v>
      </c>
      <c r="AC2413" s="2" t="s">
        <v>1038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169</v>
      </c>
      <c r="AA2414" s="2" t="s">
        <v>169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hidden="1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3227</v>
      </c>
      <c r="AA2415" s="2" t="s">
        <v>96</v>
      </c>
      <c r="AB2415" s="2" t="s">
        <v>76</v>
      </c>
      <c r="AC2415" s="2" t="s">
        <v>93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hidden="1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3227</v>
      </c>
      <c r="AA2416" s="2" t="s">
        <v>75</v>
      </c>
      <c r="AB2416" s="2" t="s">
        <v>76</v>
      </c>
      <c r="AC2416" s="2" t="s">
        <v>77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hidden="1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hidden="1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3227</v>
      </c>
      <c r="AA2419" s="2" t="s">
        <v>96</v>
      </c>
      <c r="AB2419" s="2" t="s">
        <v>76</v>
      </c>
      <c r="AC2419" s="2" t="s">
        <v>93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hidden="1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119</v>
      </c>
      <c r="AA2420" s="2" t="s">
        <v>3380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hidden="1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3123</v>
      </c>
      <c r="K2421" s="2">
        <v>965864665</v>
      </c>
      <c r="L2421" s="2" t="s">
        <v>344</v>
      </c>
      <c r="M2421" s="2" t="s">
        <v>40</v>
      </c>
      <c r="O2421" s="2" t="s">
        <v>3128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hidden="1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3227</v>
      </c>
      <c r="AA2423" s="2" t="s">
        <v>46</v>
      </c>
      <c r="AB2423" s="2" t="s">
        <v>60</v>
      </c>
      <c r="AC2423" s="2" t="s">
        <v>57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1"/>
        <v>0.55555555555555558</v>
      </c>
      <c r="Z2424" s="2" t="s">
        <v>169</v>
      </c>
      <c r="AA2424" s="2" t="s">
        <v>169</v>
      </c>
      <c r="AF2424" s="2">
        <f t="shared" si="336"/>
        <v>0</v>
      </c>
      <c r="AJ2424" s="2">
        <f t="shared" si="337"/>
        <v>0</v>
      </c>
      <c r="AK2424" s="2">
        <f t="shared" si="343"/>
        <v>7.5</v>
      </c>
      <c r="AL2424" s="5">
        <f t="shared" si="342"/>
        <v>0.55555555555555558</v>
      </c>
    </row>
    <row r="2425" spans="1:38" hidden="1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3227</v>
      </c>
      <c r="AA2425" s="2" t="s">
        <v>46</v>
      </c>
      <c r="AB2425" s="2" t="s">
        <v>60</v>
      </c>
      <c r="AC2425" s="2" t="s">
        <v>57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3227</v>
      </c>
      <c r="AA2426" s="2" t="s">
        <v>46</v>
      </c>
      <c r="AB2426" s="2" t="s">
        <v>56</v>
      </c>
      <c r="AC2426" s="2" t="s">
        <v>57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3227</v>
      </c>
      <c r="AA2427" s="2" t="s">
        <v>46</v>
      </c>
      <c r="AB2427" s="2" t="s">
        <v>60</v>
      </c>
      <c r="AC2427" s="2" t="s">
        <v>57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3227</v>
      </c>
      <c r="AA2428" s="2" t="s">
        <v>46</v>
      </c>
      <c r="AB2428" s="2" t="s">
        <v>67</v>
      </c>
      <c r="AC2428" s="2" t="s">
        <v>57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117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hidden="1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3227</v>
      </c>
      <c r="AA2430" s="2" t="s">
        <v>75</v>
      </c>
      <c r="AB2430" s="2" t="s">
        <v>76</v>
      </c>
      <c r="AC2430" s="2" t="s">
        <v>77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3227</v>
      </c>
      <c r="AA2431" s="2" t="s">
        <v>96</v>
      </c>
      <c r="AB2431" s="2" t="s">
        <v>76</v>
      </c>
      <c r="AC2431" s="2" t="s">
        <v>93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hidden="1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3227</v>
      </c>
      <c r="AA2433" s="2" t="s">
        <v>46</v>
      </c>
      <c r="AB2433" s="2" t="s">
        <v>47</v>
      </c>
      <c r="AC2433" s="2" t="s">
        <v>57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3227</v>
      </c>
      <c r="AA2434" s="2" t="s">
        <v>46</v>
      </c>
      <c r="AB2434" s="2" t="s">
        <v>47</v>
      </c>
      <c r="AC2434" s="2" t="s">
        <v>57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3227</v>
      </c>
      <c r="AA2435" s="2" t="s">
        <v>46</v>
      </c>
      <c r="AB2435" s="2" t="s">
        <v>56</v>
      </c>
      <c r="AC2435" s="2" t="s">
        <v>57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hidden="1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hidden="1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hidden="1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hidden="1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119</v>
      </c>
      <c r="AA2445" s="2" t="s">
        <v>3380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hidden="1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3227</v>
      </c>
      <c r="AA2446" s="2" t="s">
        <v>46</v>
      </c>
      <c r="AB2446" s="2" t="s">
        <v>60</v>
      </c>
      <c r="AC2446" s="2" t="s">
        <v>57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2143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3227</v>
      </c>
      <c r="AA2447" s="2" t="s">
        <v>75</v>
      </c>
      <c r="AB2447" s="2" t="s">
        <v>76</v>
      </c>
      <c r="AC2447" s="2" t="s">
        <v>77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2143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3227</v>
      </c>
      <c r="AA2448" s="2" t="s">
        <v>96</v>
      </c>
      <c r="AB2448" s="2" t="s">
        <v>76</v>
      </c>
      <c r="AC2448" s="2" t="s">
        <v>93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hidden="1" x14ac:dyDescent="0.2">
      <c r="A2449" s="2">
        <v>2025</v>
      </c>
      <c r="B2449" s="2">
        <v>12</v>
      </c>
      <c r="C2449" s="2" t="s">
        <v>3326</v>
      </c>
      <c r="D2449" s="2" t="s">
        <v>3461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hidden="1" x14ac:dyDescent="0.2">
      <c r="A2450" s="2">
        <v>2025</v>
      </c>
      <c r="B2450" s="2">
        <v>12</v>
      </c>
      <c r="C2450" s="2" t="s">
        <v>3460</v>
      </c>
      <c r="D2450" s="15" t="s">
        <v>3415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hidden="1" x14ac:dyDescent="0.2">
      <c r="A2451" s="2">
        <v>2025</v>
      </c>
      <c r="B2451" s="2">
        <v>12</v>
      </c>
      <c r="C2451" s="2" t="s">
        <v>3460</v>
      </c>
      <c r="D2451" s="15" t="s">
        <v>3415</v>
      </c>
      <c r="E2451" s="2" t="s">
        <v>108</v>
      </c>
      <c r="F2451" s="2" t="s">
        <v>39</v>
      </c>
      <c r="L2451" s="2" t="s">
        <v>133</v>
      </c>
      <c r="M2451" s="2" t="s">
        <v>109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104</v>
      </c>
      <c r="AA2451" s="2" t="s">
        <v>1574</v>
      </c>
      <c r="AB2451" s="2" t="s">
        <v>388</v>
      </c>
      <c r="AC2451" s="2" t="s">
        <v>1327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C2452" s="2" t="s">
        <v>3460</v>
      </c>
      <c r="D2452" s="15" t="s">
        <v>3415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hidden="1" x14ac:dyDescent="0.2">
      <c r="A2453" s="2">
        <v>2025</v>
      </c>
      <c r="B2453" s="2">
        <v>12</v>
      </c>
      <c r="C2453" s="2" t="s">
        <v>3460</v>
      </c>
      <c r="D2453" s="15" t="s">
        <v>3415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3164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3227</v>
      </c>
      <c r="AA2454" s="2" t="s">
        <v>75</v>
      </c>
      <c r="AB2454" s="2" t="s">
        <v>76</v>
      </c>
      <c r="AC2454" s="2" t="s">
        <v>1038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hidden="1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3227</v>
      </c>
      <c r="AA2456" s="2" t="s">
        <v>96</v>
      </c>
      <c r="AB2456" s="2" t="s">
        <v>76</v>
      </c>
      <c r="AC2456" s="2" t="s">
        <v>93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hidden="1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hidden="1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hidden="1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104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hidden="1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hidden="1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hidden="1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hidden="1" x14ac:dyDescent="0.2">
      <c r="A2464" s="2">
        <v>2025</v>
      </c>
      <c r="B2464" s="2">
        <v>12</v>
      </c>
      <c r="C2464" s="2" t="s">
        <v>3326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3326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3326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hidden="1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3227</v>
      </c>
      <c r="AA2467" s="2" t="s">
        <v>46</v>
      </c>
      <c r="AB2467" s="2" t="s">
        <v>47</v>
      </c>
      <c r="AC2467" s="2" t="s">
        <v>57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3227</v>
      </c>
      <c r="AA2468" s="2" t="s">
        <v>46</v>
      </c>
      <c r="AB2468" s="2" t="s">
        <v>47</v>
      </c>
      <c r="AC2468" s="2" t="s">
        <v>57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hidden="1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3227</v>
      </c>
      <c r="AA2469" s="2" t="s">
        <v>46</v>
      </c>
      <c r="AB2469" s="2" t="s">
        <v>56</v>
      </c>
      <c r="AC2469" s="2" t="s">
        <v>57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hidden="1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3227</v>
      </c>
      <c r="AA2470" s="2" t="s">
        <v>46</v>
      </c>
      <c r="AB2470" s="2" t="s">
        <v>56</v>
      </c>
      <c r="AC2470" s="2" t="s">
        <v>57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3227</v>
      </c>
      <c r="AA2471" s="2" t="s">
        <v>46</v>
      </c>
      <c r="AB2471" s="2" t="s">
        <v>56</v>
      </c>
      <c r="AC2471" s="2" t="s">
        <v>57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3227</v>
      </c>
      <c r="AA2472" s="2" t="s">
        <v>46</v>
      </c>
      <c r="AB2472" s="2" t="s">
        <v>56</v>
      </c>
      <c r="AC2472" s="2" t="s">
        <v>57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hidden="1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3227</v>
      </c>
      <c r="AA2473" s="2" t="s">
        <v>46</v>
      </c>
      <c r="AB2473" s="2" t="s">
        <v>56</v>
      </c>
      <c r="AC2473" s="2" t="s">
        <v>57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hidden="1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hidden="1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3227</v>
      </c>
      <c r="AA2477" s="2" t="s">
        <v>46</v>
      </c>
      <c r="AB2477" s="2" t="s">
        <v>67</v>
      </c>
      <c r="AC2477" s="2" t="s">
        <v>57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3227</v>
      </c>
      <c r="AA2478" s="2" t="s">
        <v>46</v>
      </c>
      <c r="AB2478" s="2" t="s">
        <v>56</v>
      </c>
      <c r="AC2478" s="2" t="s">
        <v>57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3227</v>
      </c>
      <c r="AA2479" s="2" t="s">
        <v>46</v>
      </c>
      <c r="AB2479" s="2" t="s">
        <v>60</v>
      </c>
      <c r="AC2479" s="2" t="s">
        <v>57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3227</v>
      </c>
      <c r="AA2480" s="2" t="s">
        <v>46</v>
      </c>
      <c r="AB2480" s="2" t="s">
        <v>67</v>
      </c>
      <c r="AC2480" s="2" t="s">
        <v>57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117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hidden="1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351"/>
        <v>1</v>
      </c>
      <c r="Z2482" s="2" t="s">
        <v>117</v>
      </c>
      <c r="AF2482" s="2">
        <f t="shared" si="346"/>
        <v>0</v>
      </c>
      <c r="AJ2482" s="2">
        <f t="shared" si="347"/>
        <v>0</v>
      </c>
      <c r="AK2482" s="2">
        <f t="shared" si="349"/>
        <v>28.57</v>
      </c>
      <c r="AL2482" s="5">
        <f t="shared" si="350"/>
        <v>1</v>
      </c>
    </row>
    <row r="2483" spans="1:38" hidden="1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hidden="1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hidden="1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3227</v>
      </c>
      <c r="AA2486" s="2" t="s">
        <v>75</v>
      </c>
      <c r="AB2486" s="2" t="s">
        <v>76</v>
      </c>
      <c r="AC2486" s="2" t="s">
        <v>77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3227</v>
      </c>
      <c r="AA2487" s="2" t="s">
        <v>75</v>
      </c>
      <c r="AB2487" s="2" t="s">
        <v>76</v>
      </c>
      <c r="AC2487" s="2" t="s">
        <v>77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6"/>
        <v>0</v>
      </c>
      <c r="AJ2488" s="2">
        <f t="shared" si="347"/>
        <v>0</v>
      </c>
    </row>
    <row r="2489" spans="1:38" hidden="1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3227</v>
      </c>
      <c r="AA2489" s="2" t="s">
        <v>96</v>
      </c>
      <c r="AB2489" s="2" t="s">
        <v>76</v>
      </c>
      <c r="AC2489" s="2" t="s">
        <v>93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hidden="1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hidden="1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hidden="1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3227</v>
      </c>
      <c r="AA2493" s="2" t="s">
        <v>1041</v>
      </c>
      <c r="AB2493" s="2" t="s">
        <v>1318</v>
      </c>
      <c r="AC2493" s="2" t="s">
        <v>1038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3227</v>
      </c>
      <c r="AA2494" s="2" t="s">
        <v>1041</v>
      </c>
      <c r="AB2494" s="2" t="s">
        <v>1318</v>
      </c>
      <c r="AC2494" s="2" t="s">
        <v>1038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3227</v>
      </c>
      <c r="AA2499" s="2" t="s">
        <v>1041</v>
      </c>
      <c r="AB2499" s="2" t="s">
        <v>1318</v>
      </c>
      <c r="AC2499" s="2" t="s">
        <v>1038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3227</v>
      </c>
      <c r="AA2500" s="2" t="s">
        <v>1041</v>
      </c>
      <c r="AB2500" s="2" t="s">
        <v>1270</v>
      </c>
      <c r="AC2500" s="2" t="s">
        <v>1038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3227</v>
      </c>
      <c r="AA2501" s="2" t="s">
        <v>1041</v>
      </c>
      <c r="AB2501" s="2" t="s">
        <v>1270</v>
      </c>
      <c r="AC2501" s="2" t="s">
        <v>1038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3227</v>
      </c>
      <c r="AA2502" s="2" t="s">
        <v>1041</v>
      </c>
      <c r="AB2502" s="2" t="s">
        <v>1318</v>
      </c>
      <c r="AC2502" s="2" t="s">
        <v>1038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3386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3227</v>
      </c>
      <c r="AA2503" s="2" t="s">
        <v>2167</v>
      </c>
      <c r="AB2503" s="2" t="s">
        <v>2168</v>
      </c>
      <c r="AC2503" s="2" t="s">
        <v>3386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3396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3227</v>
      </c>
      <c r="AA2504" s="2" t="s">
        <v>2167</v>
      </c>
      <c r="AB2504" s="2" t="s">
        <v>2031</v>
      </c>
      <c r="AC2504" s="2" t="s">
        <v>3396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3396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3227</v>
      </c>
      <c r="AA2505" s="2" t="s">
        <v>2167</v>
      </c>
      <c r="AB2505" s="2" t="s">
        <v>2031</v>
      </c>
      <c r="AC2505" s="2" t="s">
        <v>3396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2"/>
        <v>-0.65217391304347827</v>
      </c>
      <c r="Z2506" s="2" t="s">
        <v>169</v>
      </c>
      <c r="AA2506" s="2" t="s">
        <v>169</v>
      </c>
      <c r="AF2506" s="2">
        <f t="shared" si="355"/>
        <v>0</v>
      </c>
      <c r="AJ2506" s="2">
        <f t="shared" si="356"/>
        <v>0</v>
      </c>
      <c r="AK2506" s="2">
        <f t="shared" si="353"/>
        <v>-75</v>
      </c>
      <c r="AL2506" s="5">
        <f t="shared" si="354"/>
        <v>-0.65217391304347827</v>
      </c>
    </row>
    <row r="2507" spans="1:38" hidden="1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117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hidden="1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hidden="1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hidden="1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119</v>
      </c>
      <c r="AA2510" s="2" t="s">
        <v>3380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hidden="1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117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hidden="1" x14ac:dyDescent="0.2">
      <c r="A2513" s="2">
        <v>2025</v>
      </c>
      <c r="B2513" s="2">
        <v>12</v>
      </c>
      <c r="D2513" s="2" t="s">
        <v>582</v>
      </c>
      <c r="E2513" s="2" t="s">
        <v>108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582</v>
      </c>
      <c r="E2514" s="2" t="s">
        <v>108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3227</v>
      </c>
      <c r="AA2514" s="2" t="s">
        <v>75</v>
      </c>
      <c r="AB2514" s="2" t="s">
        <v>76</v>
      </c>
      <c r="AC2514" s="2" t="s">
        <v>77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582</v>
      </c>
      <c r="E2515" s="2" t="s">
        <v>108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3227</v>
      </c>
      <c r="AA2515" s="2" t="s">
        <v>96</v>
      </c>
      <c r="AB2515" s="2" t="s">
        <v>76</v>
      </c>
      <c r="AC2515" s="2" t="s">
        <v>93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hidden="1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3227</v>
      </c>
      <c r="AA2516" s="2" t="s">
        <v>71</v>
      </c>
      <c r="AB2516" s="2" t="s">
        <v>119</v>
      </c>
      <c r="AC2516" s="2" t="s">
        <v>119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hidden="1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3227</v>
      </c>
      <c r="AA2517" s="2" t="s">
        <v>46</v>
      </c>
      <c r="AB2517" s="2" t="s">
        <v>47</v>
      </c>
      <c r="AC2517" s="2" t="s">
        <v>57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3227</v>
      </c>
      <c r="AA2518" s="2" t="s">
        <v>46</v>
      </c>
      <c r="AB2518" s="2" t="s">
        <v>47</v>
      </c>
      <c r="AC2518" s="2" t="s">
        <v>57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hidden="1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hidden="1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3227</v>
      </c>
      <c r="AA2521" s="2" t="s">
        <v>46</v>
      </c>
      <c r="AB2521" s="2" t="s">
        <v>60</v>
      </c>
      <c r="AC2521" s="2" t="s">
        <v>57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3227</v>
      </c>
      <c r="AA2522" s="2" t="s">
        <v>46</v>
      </c>
      <c r="AB2522" s="2" t="s">
        <v>60</v>
      </c>
      <c r="AC2522" s="2" t="s">
        <v>57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3227</v>
      </c>
      <c r="AA2523" s="2" t="s">
        <v>46</v>
      </c>
      <c r="AB2523" s="2" t="s">
        <v>60</v>
      </c>
      <c r="AC2523" s="2" t="s">
        <v>57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hidden="1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3227</v>
      </c>
      <c r="AA2524" s="2" t="s">
        <v>46</v>
      </c>
      <c r="AB2524" s="2" t="s">
        <v>67</v>
      </c>
      <c r="AC2524" s="2" t="s">
        <v>57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3227</v>
      </c>
      <c r="AA2525" s="2" t="s">
        <v>87</v>
      </c>
      <c r="AB2525" s="2" t="s">
        <v>119</v>
      </c>
      <c r="AC2525" s="2" t="s">
        <v>166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3227</v>
      </c>
      <c r="AA2526" s="2" t="s">
        <v>87</v>
      </c>
      <c r="AB2526" s="2" t="s">
        <v>60</v>
      </c>
      <c r="AC2526" s="2" t="s">
        <v>84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hidden="1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3227</v>
      </c>
      <c r="AA2527" s="2" t="s">
        <v>87</v>
      </c>
      <c r="AB2527" s="2" t="s">
        <v>90</v>
      </c>
      <c r="AC2527" s="2" t="s">
        <v>84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hidden="1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3227</v>
      </c>
      <c r="AA2528" s="2" t="s">
        <v>71</v>
      </c>
      <c r="AB2528" s="2" t="s">
        <v>119</v>
      </c>
      <c r="AC2528" s="2" t="s">
        <v>119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hidden="1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3227</v>
      </c>
      <c r="AA2529" s="2" t="s">
        <v>46</v>
      </c>
      <c r="AB2529" s="2" t="s">
        <v>56</v>
      </c>
      <c r="AC2529" s="2" t="s">
        <v>57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3227</v>
      </c>
      <c r="AA2530" s="2" t="s">
        <v>46</v>
      </c>
      <c r="AB2530" s="2" t="s">
        <v>67</v>
      </c>
      <c r="AC2530" s="2" t="s">
        <v>57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59"/>
        <v>-0.2</v>
      </c>
      <c r="Z2531" s="2" t="s">
        <v>169</v>
      </c>
      <c r="AA2531" s="2" t="s">
        <v>169</v>
      </c>
      <c r="AF2531" s="2">
        <f t="shared" si="355"/>
        <v>0</v>
      </c>
      <c r="AJ2531" s="2">
        <f t="shared" si="356"/>
        <v>0</v>
      </c>
      <c r="AK2531" s="2">
        <f t="shared" si="357"/>
        <v>-1</v>
      </c>
      <c r="AL2531" s="5">
        <f t="shared" si="358"/>
        <v>-0.2</v>
      </c>
    </row>
    <row r="2532" spans="1:38" hidden="1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3227</v>
      </c>
      <c r="AA2532" s="2" t="s">
        <v>155</v>
      </c>
      <c r="AB2532" s="2" t="s">
        <v>3403</v>
      </c>
      <c r="AC2532" s="2" t="s">
        <v>1327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3227</v>
      </c>
      <c r="AA2533" s="2" t="s">
        <v>155</v>
      </c>
      <c r="AB2533" s="2" t="s">
        <v>3403</v>
      </c>
      <c r="AC2533" s="2" t="s">
        <v>1327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hidden="1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3227</v>
      </c>
      <c r="AA2534" s="2" t="s">
        <v>75</v>
      </c>
      <c r="AB2534" s="2" t="s">
        <v>76</v>
      </c>
      <c r="AC2534" s="2" t="s">
        <v>77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3227</v>
      </c>
      <c r="AA2535" s="2" t="s">
        <v>75</v>
      </c>
      <c r="AB2535" s="2" t="s">
        <v>76</v>
      </c>
      <c r="AC2535" s="2" t="s">
        <v>1038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169</v>
      </c>
      <c r="AA2536" s="2" t="s">
        <v>169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3227</v>
      </c>
      <c r="AA2537" s="2" t="s">
        <v>96</v>
      </c>
      <c r="AB2537" s="2" t="s">
        <v>76</v>
      </c>
      <c r="AC2537" s="2" t="s">
        <v>93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hidden="1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3227</v>
      </c>
      <c r="AA2538" s="2" t="s">
        <v>46</v>
      </c>
      <c r="AB2538" s="2" t="s">
        <v>47</v>
      </c>
      <c r="AC2538" s="2" t="s">
        <v>57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hidden="1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3227</v>
      </c>
      <c r="AA2539" s="2" t="s">
        <v>46</v>
      </c>
      <c r="AB2539" s="2" t="s">
        <v>56</v>
      </c>
      <c r="AC2539" s="2" t="s">
        <v>57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3227</v>
      </c>
      <c r="AA2540" s="2" t="s">
        <v>46</v>
      </c>
      <c r="AB2540" s="2" t="s">
        <v>60</v>
      </c>
      <c r="AC2540" s="2" t="s">
        <v>57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3227</v>
      </c>
      <c r="AA2541" s="2" t="s">
        <v>46</v>
      </c>
      <c r="AB2541" s="2" t="s">
        <v>60</v>
      </c>
      <c r="AC2541" s="2" t="s">
        <v>57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hidden="1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hidden="1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hidden="1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hidden="1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hidden="1" x14ac:dyDescent="0.2">
      <c r="A2548" s="2">
        <v>2025</v>
      </c>
      <c r="B2548" s="2">
        <v>12</v>
      </c>
      <c r="C2548" s="2" t="s">
        <v>3443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119</v>
      </c>
      <c r="AA2548" s="2" t="s">
        <v>3467</v>
      </c>
      <c r="AB2548" s="2" t="s">
        <v>3468</v>
      </c>
      <c r="AC2548" s="2" t="s">
        <v>698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hidden="1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3227</v>
      </c>
      <c r="AA2549" s="2" t="s">
        <v>71</v>
      </c>
      <c r="AB2549" s="2" t="s">
        <v>119</v>
      </c>
      <c r="AC2549" s="2" t="s">
        <v>119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2188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117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hidden="1" x14ac:dyDescent="0.2">
      <c r="A2551" s="2">
        <v>2025</v>
      </c>
      <c r="B2551" s="2">
        <v>12</v>
      </c>
      <c r="D2551" s="2" t="s">
        <v>2188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104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hidden="1" x14ac:dyDescent="0.2">
      <c r="A2552" s="2">
        <v>2025</v>
      </c>
      <c r="B2552" s="2">
        <v>12</v>
      </c>
      <c r="D2552" s="2" t="s">
        <v>2188</v>
      </c>
      <c r="P2552" s="2" t="s">
        <v>3230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3230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3227</v>
      </c>
      <c r="AA2553" s="2" t="s">
        <v>46</v>
      </c>
      <c r="AB2553" s="2" t="s">
        <v>60</v>
      </c>
      <c r="AC2553" s="2" t="s">
        <v>57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0"/>
        <v>0.25</v>
      </c>
      <c r="Z2554" s="2" t="s">
        <v>169</v>
      </c>
      <c r="AA2554" s="2" t="s">
        <v>169</v>
      </c>
      <c r="AF2554" s="2">
        <f t="shared" si="355"/>
        <v>0</v>
      </c>
      <c r="AJ2554" s="2">
        <f t="shared" si="356"/>
        <v>0</v>
      </c>
      <c r="AK2554" s="2">
        <f t="shared" si="357"/>
        <v>2</v>
      </c>
      <c r="AL2554" s="5">
        <f t="shared" si="358"/>
        <v>0.25</v>
      </c>
    </row>
    <row r="2555" spans="1:38" hidden="1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3227</v>
      </c>
      <c r="AA2556" s="2" t="s">
        <v>46</v>
      </c>
      <c r="AB2556" s="2" t="s">
        <v>56</v>
      </c>
      <c r="AC2556" s="2" t="s">
        <v>57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3227</v>
      </c>
      <c r="AA2557" s="2" t="s">
        <v>46</v>
      </c>
      <c r="AB2557" s="2" t="s">
        <v>90</v>
      </c>
      <c r="AC2557" s="2" t="s">
        <v>57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hidden="1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3227</v>
      </c>
      <c r="AA2558" s="2" t="s">
        <v>46</v>
      </c>
      <c r="AB2558" s="2" t="s">
        <v>60</v>
      </c>
      <c r="AC2558" s="2" t="s">
        <v>57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3227</v>
      </c>
      <c r="AA2559" s="2" t="s">
        <v>46</v>
      </c>
      <c r="AB2559" s="2" t="s">
        <v>60</v>
      </c>
      <c r="AC2559" s="2" t="s">
        <v>57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3227</v>
      </c>
      <c r="AA2560" s="2" t="s">
        <v>46</v>
      </c>
      <c r="AB2560" s="2" t="s">
        <v>60</v>
      </c>
      <c r="AC2560" s="2" t="s">
        <v>57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hidden="1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3227</v>
      </c>
      <c r="AA2561" s="2" t="s">
        <v>46</v>
      </c>
      <c r="AB2561" s="2" t="s">
        <v>60</v>
      </c>
      <c r="AC2561" s="2" t="s">
        <v>57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hidden="1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hidden="1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3227</v>
      </c>
      <c r="AA2565" s="2" t="s">
        <v>75</v>
      </c>
      <c r="AB2565" s="2" t="s">
        <v>76</v>
      </c>
      <c r="AC2565" s="2" t="s">
        <v>1038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169</v>
      </c>
      <c r="AA2566" s="2" t="s">
        <v>169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hidden="1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3227</v>
      </c>
      <c r="AA2567" s="2" t="s">
        <v>96</v>
      </c>
      <c r="AB2567" s="2" t="s">
        <v>76</v>
      </c>
      <c r="AC2567" s="2" t="s">
        <v>93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3227</v>
      </c>
      <c r="AA2568" s="2" t="s">
        <v>46</v>
      </c>
      <c r="AB2568" s="2" t="s">
        <v>56</v>
      </c>
      <c r="AC2568" s="2" t="s">
        <v>57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3227</v>
      </c>
      <c r="AA2569" s="2" t="s">
        <v>46</v>
      </c>
      <c r="AB2569" s="2" t="s">
        <v>60</v>
      </c>
      <c r="AC2569" s="2" t="s">
        <v>57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3227</v>
      </c>
      <c r="AA2570" s="2" t="s">
        <v>46</v>
      </c>
      <c r="AB2570" s="2" t="s">
        <v>60</v>
      </c>
      <c r="AC2570" s="2" t="s">
        <v>57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3227</v>
      </c>
      <c r="AA2571" s="2" t="s">
        <v>46</v>
      </c>
      <c r="AB2571" s="2" t="s">
        <v>67</v>
      </c>
      <c r="AC2571" s="2" t="s">
        <v>57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3227</v>
      </c>
      <c r="AA2572" s="2" t="s">
        <v>46</v>
      </c>
      <c r="AB2572" s="2" t="s">
        <v>67</v>
      </c>
      <c r="AC2572" s="2" t="s">
        <v>57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3227</v>
      </c>
      <c r="AA2573" s="2" t="s">
        <v>75</v>
      </c>
      <c r="AB2573" s="2" t="s">
        <v>76</v>
      </c>
      <c r="AC2573" s="2" t="s">
        <v>77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3227</v>
      </c>
      <c r="AA2574" s="2" t="s">
        <v>75</v>
      </c>
      <c r="AB2574" s="2" t="s">
        <v>76</v>
      </c>
      <c r="AC2574" s="2" t="s">
        <v>77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3227</v>
      </c>
      <c r="AA2575" s="2" t="s">
        <v>96</v>
      </c>
      <c r="AB2575" s="2" t="s">
        <v>76</v>
      </c>
      <c r="AC2575" s="2" t="s">
        <v>93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hidden="1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3227</v>
      </c>
      <c r="AA2576" s="2" t="s">
        <v>46</v>
      </c>
      <c r="AB2576" s="2" t="s">
        <v>56</v>
      </c>
      <c r="AC2576" s="2" t="s">
        <v>57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3227</v>
      </c>
      <c r="AA2577" s="2" t="s">
        <v>46</v>
      </c>
      <c r="AB2577" s="2" t="s">
        <v>56</v>
      </c>
      <c r="AC2577" s="2" t="s">
        <v>57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3227</v>
      </c>
      <c r="AA2578" s="2" t="s">
        <v>46</v>
      </c>
      <c r="AB2578" s="2" t="s">
        <v>56</v>
      </c>
      <c r="AC2578" s="2" t="s">
        <v>57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3227</v>
      </c>
      <c r="AA2579" s="2" t="s">
        <v>46</v>
      </c>
      <c r="AB2579" s="2" t="s">
        <v>56</v>
      </c>
      <c r="AC2579" s="2" t="s">
        <v>57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hidden="1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hidden="1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3227</v>
      </c>
      <c r="AA2581" s="2" t="s">
        <v>46</v>
      </c>
      <c r="AB2581" s="2" t="s">
        <v>60</v>
      </c>
      <c r="AC2581" s="2" t="s">
        <v>57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0"/>
        <v>0.25</v>
      </c>
      <c r="Z2582" s="2" t="s">
        <v>169</v>
      </c>
      <c r="AA2582" s="2" t="s">
        <v>169</v>
      </c>
      <c r="AF2582" s="2">
        <f t="shared" si="361"/>
        <v>0</v>
      </c>
      <c r="AJ2582" s="2">
        <f t="shared" si="362"/>
        <v>0</v>
      </c>
      <c r="AK2582" s="2">
        <f t="shared" si="363"/>
        <v>2</v>
      </c>
      <c r="AL2582" s="5">
        <f t="shared" si="358"/>
        <v>0.25</v>
      </c>
    </row>
    <row r="2583" spans="1:38" hidden="1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hidden="1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hidden="1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64"/>
        <v>0.3</v>
      </c>
      <c r="Z2585" s="2" t="s">
        <v>119</v>
      </c>
      <c r="AA2585" s="2" t="s">
        <v>3380</v>
      </c>
      <c r="AF2585" s="2">
        <f t="shared" si="361"/>
        <v>0</v>
      </c>
      <c r="AJ2585" s="2">
        <f t="shared" si="362"/>
        <v>0</v>
      </c>
      <c r="AK2585" s="2">
        <f t="shared" si="363"/>
        <v>76.5</v>
      </c>
      <c r="AL2585" s="5">
        <f t="shared" si="358"/>
        <v>0.3</v>
      </c>
    </row>
    <row r="2586" spans="1:38" hidden="1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3227</v>
      </c>
      <c r="AA2586" s="2" t="s">
        <v>75</v>
      </c>
      <c r="AB2586" s="2" t="s">
        <v>76</v>
      </c>
      <c r="AC2586" s="2" t="s">
        <v>77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3227</v>
      </c>
      <c r="AA2587" s="2" t="s">
        <v>96</v>
      </c>
      <c r="AB2587" s="2" t="s">
        <v>76</v>
      </c>
      <c r="AC2587" s="2" t="s">
        <v>93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hidden="1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364"/>
        <v>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61"/>
        <v>0</v>
      </c>
      <c r="AJ2588" s="2">
        <f t="shared" si="362"/>
        <v>0</v>
      </c>
      <c r="AK2588" s="2">
        <f t="shared" si="363"/>
        <v>28.57</v>
      </c>
      <c r="AL2588" s="5">
        <f t="shared" si="358"/>
        <v>1</v>
      </c>
    </row>
    <row r="2589" spans="1:38" hidden="1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hidden="1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119</v>
      </c>
      <c r="AA2591" s="2" t="s">
        <v>3380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hidden="1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hidden="1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hidden="1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64"/>
        <v>0.30000000000000004</v>
      </c>
      <c r="Z2594" s="2" t="s">
        <v>119</v>
      </c>
      <c r="AA2594" s="2" t="s">
        <v>3380</v>
      </c>
      <c r="AF2594" s="2">
        <f t="shared" si="361"/>
        <v>0</v>
      </c>
      <c r="AJ2594" s="2">
        <f t="shared" si="362"/>
        <v>0</v>
      </c>
      <c r="AK2594" s="2">
        <f t="shared" si="363"/>
        <v>20.091000000000001</v>
      </c>
      <c r="AL2594" s="5">
        <f t="shared" si="365"/>
        <v>0.30000000000000004</v>
      </c>
    </row>
    <row r="2595" spans="1:38" hidden="1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3227</v>
      </c>
      <c r="AA2595" s="2" t="s">
        <v>75</v>
      </c>
      <c r="AB2595" s="2" t="s">
        <v>76</v>
      </c>
      <c r="AC2595" s="2" t="s">
        <v>77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3227</v>
      </c>
      <c r="AA2596" s="2" t="s">
        <v>96</v>
      </c>
      <c r="AB2596" s="2" t="s">
        <v>76</v>
      </c>
      <c r="AC2596" s="2" t="s">
        <v>93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hidden="1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3227</v>
      </c>
      <c r="AA2598" s="2" t="s">
        <v>46</v>
      </c>
      <c r="AB2598" s="2" t="s">
        <v>60</v>
      </c>
      <c r="AC2598" s="2" t="s">
        <v>57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3227</v>
      </c>
      <c r="AA2599" s="2" t="s">
        <v>46</v>
      </c>
      <c r="AB2599" s="2" t="s">
        <v>60</v>
      </c>
      <c r="AC2599" s="2" t="s">
        <v>57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4"/>
        <v>0.25</v>
      </c>
      <c r="Z2600" s="2" t="s">
        <v>169</v>
      </c>
      <c r="AA2600" s="2" t="s">
        <v>169</v>
      </c>
      <c r="AF2600" s="2">
        <f t="shared" si="361"/>
        <v>0</v>
      </c>
      <c r="AJ2600" s="2">
        <f t="shared" si="362"/>
        <v>0</v>
      </c>
      <c r="AK2600" s="2">
        <f t="shared" si="363"/>
        <v>2</v>
      </c>
      <c r="AL2600" s="5">
        <f t="shared" si="365"/>
        <v>0.25</v>
      </c>
    </row>
    <row r="2601" spans="1:38" hidden="1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3227</v>
      </c>
      <c r="AA2601" s="2" t="s">
        <v>75</v>
      </c>
      <c r="AB2601" s="2" t="s">
        <v>76</v>
      </c>
      <c r="AC2601" s="2" t="s">
        <v>77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3227</v>
      </c>
      <c r="AA2602" s="2" t="s">
        <v>96</v>
      </c>
      <c r="AB2602" s="2" t="s">
        <v>76</v>
      </c>
      <c r="AC2602" s="2" t="s">
        <v>93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hidden="1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119</v>
      </c>
      <c r="AA2603" s="2" t="s">
        <v>3380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hidden="1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3227</v>
      </c>
      <c r="AA2604" s="2" t="s">
        <v>46</v>
      </c>
      <c r="AB2604" s="2" t="s">
        <v>47</v>
      </c>
      <c r="AC2604" s="2" t="s">
        <v>57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3227</v>
      </c>
      <c r="AA2605" s="2" t="s">
        <v>46</v>
      </c>
      <c r="AB2605" s="2" t="s">
        <v>56</v>
      </c>
      <c r="AC2605" s="2" t="s">
        <v>57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1489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hidden="1" x14ac:dyDescent="0.2">
      <c r="A2607" s="2">
        <v>2025</v>
      </c>
      <c r="B2607" s="2">
        <v>9</v>
      </c>
      <c r="C2607" s="2" t="s">
        <v>3488</v>
      </c>
      <c r="D2607" s="2" t="s">
        <v>3487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6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61"/>
        <v>0</v>
      </c>
      <c r="AJ2607" s="2">
        <f t="shared" si="362"/>
        <v>0</v>
      </c>
      <c r="AK2607" s="2">
        <f t="shared" si="363"/>
        <v>1615.7700000000004</v>
      </c>
      <c r="AL2607" s="5">
        <f t="shared" si="365"/>
        <v>0.24188173652694617</v>
      </c>
    </row>
    <row r="2608" spans="1:38" hidden="1" x14ac:dyDescent="0.2">
      <c r="A2608" s="2">
        <v>2025</v>
      </c>
      <c r="B2608" s="2">
        <v>9</v>
      </c>
      <c r="C2608" s="2" t="s">
        <v>3488</v>
      </c>
      <c r="D2608" s="2" t="s">
        <v>3487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>
        <v>0</v>
      </c>
    </row>
    <row r="2609" spans="1:38" hidden="1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119</v>
      </c>
      <c r="AA2609" s="2" t="s">
        <v>3380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hidden="1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hidden="1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hidden="1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3227</v>
      </c>
      <c r="AA2613" s="2" t="s">
        <v>46</v>
      </c>
      <c r="AB2613" s="2" t="s">
        <v>47</v>
      </c>
      <c r="AC2613" s="2" t="s">
        <v>57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hidden="1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hidden="1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3227</v>
      </c>
      <c r="AA2616" s="2" t="s">
        <v>75</v>
      </c>
      <c r="AB2616" s="2" t="s">
        <v>76</v>
      </c>
      <c r="AC2616" s="2" t="s">
        <v>77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3227</v>
      </c>
      <c r="AA2617" s="2" t="s">
        <v>96</v>
      </c>
      <c r="AB2617" s="2" t="s">
        <v>76</v>
      </c>
      <c r="AC2617" s="2" t="s">
        <v>93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hidden="1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3227</v>
      </c>
      <c r="AA2618" s="2" t="s">
        <v>46</v>
      </c>
      <c r="AB2618" s="2" t="s">
        <v>60</v>
      </c>
      <c r="AC2618" s="2" t="s">
        <v>57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hidden="1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3227</v>
      </c>
      <c r="AA2619" s="2" t="s">
        <v>46</v>
      </c>
      <c r="AB2619" s="2" t="s">
        <v>60</v>
      </c>
      <c r="AC2619" s="2" t="s">
        <v>57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hidden="1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3227</v>
      </c>
      <c r="AA2620" s="2" t="s">
        <v>75</v>
      </c>
      <c r="AB2620" s="2" t="s">
        <v>76</v>
      </c>
      <c r="AC2620" s="2" t="s">
        <v>77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3227</v>
      </c>
      <c r="AA2621" s="2" t="s">
        <v>96</v>
      </c>
      <c r="AB2621" s="2" t="s">
        <v>76</v>
      </c>
      <c r="AC2621" s="2" t="s">
        <v>93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hidden="1" x14ac:dyDescent="0.2">
      <c r="A2622" s="2">
        <v>2025</v>
      </c>
      <c r="B2622" s="2">
        <v>9</v>
      </c>
      <c r="D2622" s="2" t="s">
        <v>1759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hidden="1" x14ac:dyDescent="0.2">
      <c r="A2623" s="2">
        <v>2025</v>
      </c>
      <c r="B2623" s="2">
        <v>9</v>
      </c>
      <c r="D2623" s="2" t="s">
        <v>2221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hidden="1" x14ac:dyDescent="0.2">
      <c r="A2624" s="2">
        <v>2025</v>
      </c>
      <c r="B2624" s="2">
        <v>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hidden="1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3227</v>
      </c>
      <c r="AA2625" s="2" t="s">
        <v>46</v>
      </c>
      <c r="AB2625" s="2" t="s">
        <v>56</v>
      </c>
      <c r="AC2625" s="2" t="s">
        <v>57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hidden="1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3227</v>
      </c>
      <c r="AA2626" s="2" t="s">
        <v>46</v>
      </c>
      <c r="AB2626" s="2" t="s">
        <v>60</v>
      </c>
      <c r="AC2626" s="2" t="s">
        <v>57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3227</v>
      </c>
      <c r="AA2627" s="2" t="s">
        <v>46</v>
      </c>
      <c r="AB2627" s="2" t="s">
        <v>67</v>
      </c>
      <c r="AC2627" s="2" t="s">
        <v>57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3227</v>
      </c>
      <c r="AA2628" s="2" t="s">
        <v>46</v>
      </c>
      <c r="AB2628" s="2" t="s">
        <v>67</v>
      </c>
      <c r="AC2628" s="2" t="s">
        <v>57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3227</v>
      </c>
      <c r="AA2629" s="2" t="s">
        <v>46</v>
      </c>
      <c r="AB2629" s="2" t="s">
        <v>56</v>
      </c>
      <c r="AC2629" s="2" t="s">
        <v>57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hidden="1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3227</v>
      </c>
      <c r="AA2630" s="2" t="s">
        <v>46</v>
      </c>
      <c r="AB2630" s="2" t="s">
        <v>60</v>
      </c>
      <c r="AC2630" s="2" t="s">
        <v>57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3227</v>
      </c>
      <c r="AA2631" s="2" t="s">
        <v>46</v>
      </c>
      <c r="AB2631" s="2" t="s">
        <v>60</v>
      </c>
      <c r="AC2631" s="2" t="s">
        <v>57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3227</v>
      </c>
      <c r="AA2632" s="2" t="s">
        <v>46</v>
      </c>
      <c r="AB2632" s="2" t="s">
        <v>60</v>
      </c>
      <c r="AC2632" s="2" t="s">
        <v>57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3227</v>
      </c>
      <c r="AA2633" s="2" t="s">
        <v>75</v>
      </c>
      <c r="AB2633" s="2" t="s">
        <v>76</v>
      </c>
      <c r="AC2633" s="2" t="s">
        <v>77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3227</v>
      </c>
      <c r="AA2634" s="2" t="s">
        <v>96</v>
      </c>
      <c r="AB2634" s="2" t="s">
        <v>76</v>
      </c>
      <c r="AC2634" s="2" t="s">
        <v>93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hidden="1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hidden="1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hidden="1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hidden="1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hidden="1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119</v>
      </c>
      <c r="AA2640" s="2" t="s">
        <v>3380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hidden="1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3227</v>
      </c>
      <c r="AA2641" s="2" t="s">
        <v>75</v>
      </c>
      <c r="AB2641" s="2" t="s">
        <v>76</v>
      </c>
      <c r="AC2641" s="2" t="s">
        <v>77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3227</v>
      </c>
      <c r="AA2642" s="2" t="s">
        <v>96</v>
      </c>
      <c r="AB2642" s="2" t="s">
        <v>76</v>
      </c>
      <c r="AC2642" s="2" t="s">
        <v>93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hidden="1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3227</v>
      </c>
      <c r="AA2643" s="2" t="s">
        <v>46</v>
      </c>
      <c r="AB2643" s="2" t="s">
        <v>56</v>
      </c>
      <c r="AC2643" s="2" t="s">
        <v>57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2230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hidden="1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119</v>
      </c>
      <c r="AA2645" s="2" t="s">
        <v>3380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hidden="1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3227</v>
      </c>
      <c r="AA2646" s="2" t="s">
        <v>75</v>
      </c>
      <c r="AB2646" s="2" t="s">
        <v>76</v>
      </c>
      <c r="AC2646" s="2" t="s">
        <v>77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3227</v>
      </c>
      <c r="AA2647" s="2" t="s">
        <v>96</v>
      </c>
      <c r="AB2647" s="2" t="s">
        <v>76</v>
      </c>
      <c r="AC2647" s="2" t="s">
        <v>93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hidden="1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104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hidden="1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117</v>
      </c>
      <c r="AA2649" s="2" t="s">
        <v>317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hidden="1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117</v>
      </c>
      <c r="AA2650" s="2" t="s">
        <v>317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hidden="1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hidden="1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104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hidden="1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hidden="1" x14ac:dyDescent="0.2">
      <c r="A2654" s="2">
        <v>2025</v>
      </c>
      <c r="B2654" s="2">
        <v>9</v>
      </c>
      <c r="C2654" s="2" t="s">
        <v>3441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3227</v>
      </c>
      <c r="AA2654" s="2" t="s">
        <v>46</v>
      </c>
      <c r="AB2654" s="2" t="s">
        <v>60</v>
      </c>
      <c r="AC2654" s="2" t="s">
        <v>57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3227</v>
      </c>
      <c r="AA2655" s="2" t="s">
        <v>46</v>
      </c>
      <c r="AB2655" s="2" t="s">
        <v>60</v>
      </c>
      <c r="AC2655" s="2" t="s">
        <v>3332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hidden="1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3227</v>
      </c>
      <c r="AA2656" s="2" t="s">
        <v>46</v>
      </c>
      <c r="AB2656" s="2" t="s">
        <v>60</v>
      </c>
      <c r="AC2656" s="2" t="s">
        <v>3332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3123</v>
      </c>
      <c r="K2657" s="2">
        <v>965864665</v>
      </c>
      <c r="L2657" s="2" t="s">
        <v>344</v>
      </c>
      <c r="M2657" s="2" t="s">
        <v>80</v>
      </c>
      <c r="O2657" s="2" t="s">
        <v>3125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3227</v>
      </c>
      <c r="AA2657" s="2" t="s">
        <v>75</v>
      </c>
      <c r="AB2657" s="2" t="s">
        <v>76</v>
      </c>
      <c r="AC2657" s="2" t="s">
        <v>77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3123</v>
      </c>
      <c r="K2658" s="2">
        <v>965864665</v>
      </c>
      <c r="L2658" s="2" t="s">
        <v>344</v>
      </c>
      <c r="M2658" s="2" t="s">
        <v>80</v>
      </c>
      <c r="O2658" s="2" t="s">
        <v>3125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3227</v>
      </c>
      <c r="AA2658" s="2" t="s">
        <v>96</v>
      </c>
      <c r="AB2658" s="2" t="s">
        <v>76</v>
      </c>
      <c r="AC2658" s="2" t="s">
        <v>93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hidden="1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3129</v>
      </c>
      <c r="K2659" s="2">
        <v>962555043</v>
      </c>
      <c r="L2659" s="2" t="s">
        <v>344</v>
      </c>
      <c r="M2659" s="2" t="s">
        <v>40</v>
      </c>
      <c r="O2659" s="2" t="s">
        <v>3131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117</v>
      </c>
      <c r="AA2659" s="2" t="s">
        <v>317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hidden="1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3129</v>
      </c>
      <c r="K2660" s="2">
        <v>962555043</v>
      </c>
      <c r="L2660" s="2" t="s">
        <v>344</v>
      </c>
      <c r="M2660" s="2" t="s">
        <v>40</v>
      </c>
      <c r="O2660" s="2" t="s">
        <v>3131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117</v>
      </c>
      <c r="AA2660" s="2" t="s">
        <v>317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hidden="1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1"/>
        <v>0.25</v>
      </c>
      <c r="Z2662" s="2" t="s">
        <v>169</v>
      </c>
      <c r="AA2662" s="2" t="s">
        <v>169</v>
      </c>
      <c r="AF2662" s="2">
        <f t="shared" si="367"/>
        <v>0</v>
      </c>
      <c r="AJ2662" s="2">
        <f t="shared" si="368"/>
        <v>0</v>
      </c>
      <c r="AK2662" s="2">
        <f t="shared" si="369"/>
        <v>2</v>
      </c>
      <c r="AL2662" s="5">
        <f t="shared" si="372"/>
        <v>0.25</v>
      </c>
    </row>
    <row r="2663" spans="1:38" hidden="1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3227</v>
      </c>
      <c r="AA2663" s="2" t="s">
        <v>46</v>
      </c>
      <c r="AB2663" s="2" t="s">
        <v>47</v>
      </c>
      <c r="AC2663" s="2" t="s">
        <v>57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hidden="1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3227</v>
      </c>
      <c r="AA2664" s="2" t="s">
        <v>46</v>
      </c>
      <c r="AB2664" s="2" t="s">
        <v>47</v>
      </c>
      <c r="AC2664" s="2" t="s">
        <v>57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3227</v>
      </c>
      <c r="AA2665" s="2" t="s">
        <v>75</v>
      </c>
      <c r="AB2665" s="2" t="s">
        <v>76</v>
      </c>
      <c r="AC2665" s="2" t="s">
        <v>77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3227</v>
      </c>
      <c r="AA2666" s="2" t="s">
        <v>96</v>
      </c>
      <c r="AB2666" s="2" t="s">
        <v>76</v>
      </c>
      <c r="AC2666" s="2" t="s">
        <v>93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hidden="1" x14ac:dyDescent="0.2">
      <c r="A2667" s="2">
        <v>2025</v>
      </c>
      <c r="B2667" s="2">
        <v>9</v>
      </c>
      <c r="D2667" s="2" t="s">
        <v>1795</v>
      </c>
      <c r="P2667" s="2" t="s">
        <v>3230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3230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2236</v>
      </c>
      <c r="P2668" s="2" t="s">
        <v>3230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3230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3227</v>
      </c>
      <c r="AA2669" s="2" t="s">
        <v>75</v>
      </c>
      <c r="AB2669" s="2" t="s">
        <v>76</v>
      </c>
      <c r="AC2669" s="2" t="s">
        <v>77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3227</v>
      </c>
      <c r="AA2670" s="2" t="s">
        <v>96</v>
      </c>
      <c r="AB2670" s="2" t="s">
        <v>76</v>
      </c>
      <c r="AC2670" s="2" t="s">
        <v>93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hidden="1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3227</v>
      </c>
      <c r="AA2671" s="2" t="s">
        <v>75</v>
      </c>
      <c r="AB2671" s="2" t="s">
        <v>76</v>
      </c>
      <c r="AC2671" s="2" t="s">
        <v>77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3227</v>
      </c>
      <c r="AA2672" s="2" t="s">
        <v>96</v>
      </c>
      <c r="AB2672" s="2" t="s">
        <v>76</v>
      </c>
      <c r="AC2672" s="2" t="s">
        <v>93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hidden="1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3227</v>
      </c>
      <c r="AA2673" s="2" t="s">
        <v>75</v>
      </c>
      <c r="AB2673" s="2" t="s">
        <v>76</v>
      </c>
      <c r="AC2673" s="2" t="s">
        <v>77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3227</v>
      </c>
      <c r="AA2674" s="2" t="s">
        <v>96</v>
      </c>
      <c r="AB2674" s="2" t="s">
        <v>76</v>
      </c>
      <c r="AC2674" s="2" t="s">
        <v>93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hidden="1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117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hidden="1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hidden="1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hidden="1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119</v>
      </c>
      <c r="AA2679" s="2" t="s">
        <v>3380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hidden="1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hidden="1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119</v>
      </c>
      <c r="AA2681" s="2" t="s">
        <v>3380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hidden="1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hidden="1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hidden="1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hidden="1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119</v>
      </c>
      <c r="AA2686" s="2" t="s">
        <v>3380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hidden="1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hidden="1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3227</v>
      </c>
      <c r="AA2688" s="2" t="s">
        <v>46</v>
      </c>
      <c r="AB2688" s="2" t="s">
        <v>60</v>
      </c>
      <c r="AC2688" s="2" t="s">
        <v>3332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hidden="1" x14ac:dyDescent="0.2">
      <c r="A2689" s="2">
        <v>2025</v>
      </c>
      <c r="B2689" s="2">
        <v>9</v>
      </c>
      <c r="C2689" s="2" t="s">
        <v>3475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3227</v>
      </c>
      <c r="AA2689" s="2" t="s">
        <v>46</v>
      </c>
      <c r="AB2689" s="2" t="s">
        <v>56</v>
      </c>
      <c r="AC2689" s="2" t="s">
        <v>57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hidden="1" x14ac:dyDescent="0.2">
      <c r="A2690" s="2">
        <v>2025</v>
      </c>
      <c r="B2690" s="2">
        <v>9</v>
      </c>
      <c r="C2690" s="2" t="s">
        <v>3475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3227</v>
      </c>
      <c r="AA2690" s="2" t="s">
        <v>46</v>
      </c>
      <c r="AB2690" s="2" t="s">
        <v>56</v>
      </c>
      <c r="AC2690" s="2" t="s">
        <v>57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hidden="1" x14ac:dyDescent="0.2">
      <c r="A2691" s="2">
        <v>2025</v>
      </c>
      <c r="B2691" s="2">
        <v>9</v>
      </c>
      <c r="C2691" s="2" t="s">
        <v>3475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3227</v>
      </c>
      <c r="AA2691" s="2" t="s">
        <v>46</v>
      </c>
      <c r="AB2691" s="2" t="s">
        <v>56</v>
      </c>
      <c r="AC2691" s="2" t="s">
        <v>57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hidden="1" x14ac:dyDescent="0.2">
      <c r="A2692" s="2">
        <v>2025</v>
      </c>
      <c r="B2692" s="2">
        <v>9</v>
      </c>
      <c r="C2692" s="2" t="s">
        <v>3475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3227</v>
      </c>
      <c r="AA2692" s="2" t="s">
        <v>46</v>
      </c>
      <c r="AB2692" s="2" t="s">
        <v>60</v>
      </c>
      <c r="AC2692" s="2" t="s">
        <v>57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hidden="1" x14ac:dyDescent="0.2">
      <c r="A2693" s="2">
        <v>2025</v>
      </c>
      <c r="B2693" s="2">
        <v>9</v>
      </c>
      <c r="C2693" s="2" t="s">
        <v>3475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3227</v>
      </c>
      <c r="AA2693" s="2" t="s">
        <v>46</v>
      </c>
      <c r="AB2693" s="2" t="s">
        <v>60</v>
      </c>
      <c r="AC2693" s="2" t="s">
        <v>57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hidden="1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hidden="1" x14ac:dyDescent="0.2">
      <c r="A2695" s="2">
        <v>2025</v>
      </c>
      <c r="B2695" s="2">
        <v>9</v>
      </c>
      <c r="C2695" s="2" t="s">
        <v>3441</v>
      </c>
      <c r="D2695" s="2" t="s">
        <v>3303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hidden="1" x14ac:dyDescent="0.2">
      <c r="A2696" s="2">
        <v>2025</v>
      </c>
      <c r="B2696" s="2">
        <v>9</v>
      </c>
      <c r="C2696" s="2" t="s">
        <v>3411</v>
      </c>
      <c r="D2696" s="2" t="s">
        <v>3459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hidden="1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73"/>
        <v>1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4"/>
        <v>0</v>
      </c>
      <c r="AJ2697" s="2">
        <f t="shared" si="375"/>
        <v>0</v>
      </c>
      <c r="AK2697" s="2">
        <f t="shared" si="369"/>
        <v>57.15</v>
      </c>
      <c r="AL2697" s="5">
        <f t="shared" si="372"/>
        <v>1</v>
      </c>
    </row>
    <row r="2698" spans="1:38" hidden="1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3227</v>
      </c>
      <c r="AA2698" s="2" t="s">
        <v>75</v>
      </c>
      <c r="AB2698" s="2" t="s">
        <v>76</v>
      </c>
      <c r="AC2698" s="2" t="s">
        <v>77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3227</v>
      </c>
      <c r="AA2699" s="2" t="s">
        <v>96</v>
      </c>
      <c r="AB2699" s="2" t="s">
        <v>76</v>
      </c>
      <c r="AC2699" s="2" t="s">
        <v>93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hidden="1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3148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3227</v>
      </c>
      <c r="AA2700" s="2" t="s">
        <v>1041</v>
      </c>
      <c r="AB2700" s="2" t="s">
        <v>1042</v>
      </c>
      <c r="AC2700" s="2" t="s">
        <v>1038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169</v>
      </c>
      <c r="AA2701" s="2" t="s">
        <v>169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3227</v>
      </c>
      <c r="AA2702" s="2" t="s">
        <v>75</v>
      </c>
      <c r="AB2702" s="2" t="s">
        <v>76</v>
      </c>
      <c r="AC2702" s="2" t="s">
        <v>77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3227</v>
      </c>
      <c r="AA2703" s="2" t="s">
        <v>96</v>
      </c>
      <c r="AB2703" s="2" t="s">
        <v>76</v>
      </c>
      <c r="AC2703" s="2" t="s">
        <v>93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hidden="1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3166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3227</v>
      </c>
      <c r="AA2704" s="2" t="s">
        <v>1041</v>
      </c>
      <c r="AB2704" s="2" t="s">
        <v>2247</v>
      </c>
      <c r="AC2704" s="2" t="s">
        <v>1038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119</v>
      </c>
      <c r="AA2705" s="2" t="s">
        <v>492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hidden="1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3227</v>
      </c>
      <c r="AA2706" s="2" t="s">
        <v>46</v>
      </c>
      <c r="AB2706" s="2" t="s">
        <v>47</v>
      </c>
      <c r="AC2706" s="2" t="s">
        <v>57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3227</v>
      </c>
      <c r="AA2707" s="2" t="s">
        <v>46</v>
      </c>
      <c r="AB2707" s="2" t="s">
        <v>47</v>
      </c>
      <c r="AC2707" s="2" t="s">
        <v>57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2249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117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hidden="1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hidden="1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119</v>
      </c>
      <c r="AA2710" s="2" t="s">
        <v>3380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hidden="1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3217</v>
      </c>
      <c r="J2711" s="2" t="s">
        <v>3216</v>
      </c>
      <c r="K2711" s="2">
        <v>913814877</v>
      </c>
      <c r="L2711" s="2" t="s">
        <v>201</v>
      </c>
      <c r="M2711" s="2" t="s">
        <v>80</v>
      </c>
      <c r="O2711" s="2" t="s">
        <v>3210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3227</v>
      </c>
      <c r="AA2711" s="2" t="s">
        <v>46</v>
      </c>
      <c r="AB2711" s="2" t="s">
        <v>56</v>
      </c>
      <c r="AC2711" s="2" t="s">
        <v>57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3217</v>
      </c>
      <c r="J2712" s="2" t="s">
        <v>3216</v>
      </c>
      <c r="K2712" s="2">
        <v>913814877</v>
      </c>
      <c r="L2712" s="2" t="s">
        <v>201</v>
      </c>
      <c r="M2712" s="2" t="s">
        <v>80</v>
      </c>
      <c r="O2712" s="2" t="s">
        <v>3210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3"/>
        <v>0.29411764705882354</v>
      </c>
      <c r="Z2712" s="2" t="s">
        <v>169</v>
      </c>
      <c r="AA2712" s="2" t="s">
        <v>169</v>
      </c>
      <c r="AF2712" s="2">
        <f t="shared" si="374"/>
        <v>0</v>
      </c>
      <c r="AJ2712" s="2">
        <f t="shared" si="375"/>
        <v>0</v>
      </c>
      <c r="AK2712" s="2">
        <f t="shared" si="376"/>
        <v>2.5</v>
      </c>
      <c r="AL2712" s="5">
        <f t="shared" si="372"/>
        <v>0.29411764705882354</v>
      </c>
    </row>
    <row r="2713" spans="1:38" hidden="1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3227</v>
      </c>
      <c r="AA2713" s="2" t="s">
        <v>75</v>
      </c>
      <c r="AB2713" s="2" t="s">
        <v>76</v>
      </c>
      <c r="AC2713" s="2" t="s">
        <v>77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3227</v>
      </c>
      <c r="AA2714" s="2" t="s">
        <v>96</v>
      </c>
      <c r="AB2714" s="2" t="s">
        <v>76</v>
      </c>
      <c r="AC2714" s="2" t="s">
        <v>93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hidden="1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3227</v>
      </c>
      <c r="AA2715" s="2" t="s">
        <v>71</v>
      </c>
      <c r="AB2715" s="2" t="s">
        <v>119</v>
      </c>
      <c r="AC2715" s="2" t="s">
        <v>119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3227</v>
      </c>
      <c r="AA2716" s="2" t="s">
        <v>46</v>
      </c>
      <c r="AB2716" s="2" t="s">
        <v>47</v>
      </c>
      <c r="AC2716" s="2" t="s">
        <v>57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hidden="1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3227</v>
      </c>
      <c r="AA2717" s="2" t="s">
        <v>46</v>
      </c>
      <c r="AB2717" s="2" t="s">
        <v>47</v>
      </c>
      <c r="AC2717" s="2" t="s">
        <v>57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3227</v>
      </c>
      <c r="AA2718" s="2" t="s">
        <v>46</v>
      </c>
      <c r="AB2718" s="2" t="s">
        <v>47</v>
      </c>
      <c r="AC2718" s="2" t="s">
        <v>57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hidden="1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3227</v>
      </c>
      <c r="AA2719" s="2" t="s">
        <v>75</v>
      </c>
      <c r="AB2719" s="2" t="s">
        <v>76</v>
      </c>
      <c r="AC2719" s="2" t="s">
        <v>77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3227</v>
      </c>
      <c r="AA2720" s="2" t="s">
        <v>75</v>
      </c>
      <c r="AB2720" s="2" t="s">
        <v>76</v>
      </c>
      <c r="AC2720" s="2" t="s">
        <v>77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3227</v>
      </c>
      <c r="AA2721" s="2" t="s">
        <v>96</v>
      </c>
      <c r="AB2721" s="2" t="s">
        <v>76</v>
      </c>
      <c r="AC2721" s="2" t="s">
        <v>93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hidden="1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hidden="1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3227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hidden="1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3227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hidden="1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3227</v>
      </c>
      <c r="AA2725" s="2" t="s">
        <v>46</v>
      </c>
      <c r="AB2725" s="2" t="s">
        <v>47</v>
      </c>
      <c r="AC2725" s="2" t="s">
        <v>57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3227</v>
      </c>
      <c r="AA2726" s="2" t="s">
        <v>46</v>
      </c>
      <c r="AB2726" s="2" t="s">
        <v>47</v>
      </c>
      <c r="AC2726" s="2" t="s">
        <v>57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3227</v>
      </c>
      <c r="AA2727" s="2" t="s">
        <v>46</v>
      </c>
      <c r="AB2727" s="2" t="s">
        <v>47</v>
      </c>
      <c r="AC2727" s="2" t="s">
        <v>57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3227</v>
      </c>
      <c r="AA2728" s="2" t="s">
        <v>46</v>
      </c>
      <c r="AB2728" s="2" t="s">
        <v>56</v>
      </c>
      <c r="AC2728" s="2" t="s">
        <v>57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3227</v>
      </c>
      <c r="AA2729" s="2" t="s">
        <v>46</v>
      </c>
      <c r="AB2729" s="2" t="s">
        <v>60</v>
      </c>
      <c r="AC2729" s="2" t="s">
        <v>57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3227</v>
      </c>
      <c r="AA2730" s="2" t="s">
        <v>155</v>
      </c>
      <c r="AB2730" s="2" t="s">
        <v>3403</v>
      </c>
      <c r="AC2730" s="2" t="s">
        <v>1327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hidden="1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3227</v>
      </c>
      <c r="AA2731" s="2" t="s">
        <v>155</v>
      </c>
      <c r="AB2731" s="2" t="s">
        <v>3403</v>
      </c>
      <c r="AC2731" s="2" t="s">
        <v>1327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hidden="1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3227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hidden="1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3227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hidden="1" x14ac:dyDescent="0.2">
      <c r="A2734" s="2">
        <v>2025</v>
      </c>
      <c r="B2734" s="2">
        <v>9</v>
      </c>
      <c r="D2734" s="2" t="s">
        <v>2049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2049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hidden="1" x14ac:dyDescent="0.2">
      <c r="A2736" s="2">
        <v>2025</v>
      </c>
      <c r="B2736" s="2">
        <v>9</v>
      </c>
      <c r="D2736" s="2" t="s">
        <v>2049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119</v>
      </c>
      <c r="AA2736" s="2" t="s">
        <v>3380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hidden="1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3227</v>
      </c>
      <c r="AA2737" s="2" t="s">
        <v>75</v>
      </c>
      <c r="AB2737" s="2" t="s">
        <v>76</v>
      </c>
      <c r="AC2737" s="2" t="s">
        <v>77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3227</v>
      </c>
      <c r="AA2738" s="2" t="s">
        <v>96</v>
      </c>
      <c r="AB2738" s="2" t="s">
        <v>76</v>
      </c>
      <c r="AC2738" s="2" t="s">
        <v>93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hidden="1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77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3227</v>
      </c>
      <c r="AA2740" s="2" t="s">
        <v>75</v>
      </c>
      <c r="AB2740" s="2" t="s">
        <v>76</v>
      </c>
      <c r="AC2740" s="2" t="s">
        <v>77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3227</v>
      </c>
      <c r="AA2741" s="2" t="s">
        <v>96</v>
      </c>
      <c r="AB2741" s="2" t="s">
        <v>76</v>
      </c>
      <c r="AC2741" s="2" t="s">
        <v>93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hidden="1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hidden="1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hidden="1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3227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hidden="1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3227</v>
      </c>
      <c r="AA2747" s="2" t="s">
        <v>71</v>
      </c>
      <c r="AB2747" s="2" t="s">
        <v>119</v>
      </c>
      <c r="AC2747" s="2" t="s">
        <v>119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hidden="1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hidden="1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hidden="1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119</v>
      </c>
      <c r="AA2750" s="2" t="s">
        <v>3380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hidden="1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hidden="1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hidden="1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3227</v>
      </c>
      <c r="AA2753" s="2" t="s">
        <v>75</v>
      </c>
      <c r="AB2753" s="2" t="s">
        <v>76</v>
      </c>
      <c r="AC2753" s="2" t="s">
        <v>77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hidden="1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hidden="1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3227</v>
      </c>
      <c r="AA2756" s="2" t="s">
        <v>96</v>
      </c>
      <c r="AB2756" s="2" t="s">
        <v>76</v>
      </c>
      <c r="AC2756" s="2" t="s">
        <v>93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hidden="1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3227</v>
      </c>
      <c r="AA2757" s="2" t="s">
        <v>46</v>
      </c>
      <c r="AB2757" s="2" t="s">
        <v>60</v>
      </c>
      <c r="AC2757" s="2" t="s">
        <v>57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2"/>
        <v>0.25</v>
      </c>
      <c r="Z2758" s="2" t="s">
        <v>169</v>
      </c>
      <c r="AA2758" s="2" t="s">
        <v>169</v>
      </c>
      <c r="AF2758" s="2">
        <f t="shared" si="380"/>
        <v>0</v>
      </c>
      <c r="AJ2758" s="2">
        <f t="shared" si="381"/>
        <v>0</v>
      </c>
      <c r="AK2758" s="2">
        <f t="shared" si="376"/>
        <v>2</v>
      </c>
      <c r="AL2758" s="5">
        <f t="shared" si="378"/>
        <v>0.25</v>
      </c>
    </row>
    <row r="2759" spans="1:38" hidden="1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3227</v>
      </c>
      <c r="AA2760" s="2" t="s">
        <v>46</v>
      </c>
      <c r="AB2760" s="2" t="s">
        <v>56</v>
      </c>
      <c r="AC2760" s="2" t="s">
        <v>57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3227</v>
      </c>
      <c r="AA2762" s="2" t="s">
        <v>46</v>
      </c>
      <c r="AB2762" s="2" t="s">
        <v>47</v>
      </c>
      <c r="AC2762" s="2" t="s">
        <v>57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3227</v>
      </c>
      <c r="AA2763" s="2" t="s">
        <v>46</v>
      </c>
      <c r="AB2763" s="2" t="s">
        <v>47</v>
      </c>
      <c r="AC2763" s="2" t="s">
        <v>57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hidden="1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3227</v>
      </c>
      <c r="AA2764" s="2" t="s">
        <v>46</v>
      </c>
      <c r="AB2764" s="2" t="s">
        <v>60</v>
      </c>
      <c r="AC2764" s="2" t="s">
        <v>57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582</v>
      </c>
      <c r="E2765" s="2" t="s">
        <v>108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582</v>
      </c>
      <c r="E2766" s="2" t="s">
        <v>108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3227</v>
      </c>
      <c r="AA2766" s="2" t="s">
        <v>75</v>
      </c>
      <c r="AB2766" s="2" t="s">
        <v>76</v>
      </c>
      <c r="AC2766" s="2" t="s">
        <v>77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582</v>
      </c>
      <c r="E2767" s="2" t="s">
        <v>108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3227</v>
      </c>
      <c r="AA2767" s="2" t="s">
        <v>96</v>
      </c>
      <c r="AB2767" s="2" t="s">
        <v>76</v>
      </c>
      <c r="AC2767" s="2" t="s">
        <v>93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hidden="1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3227</v>
      </c>
      <c r="AA2768" s="2" t="s">
        <v>46</v>
      </c>
      <c r="AB2768" s="2" t="s">
        <v>47</v>
      </c>
      <c r="AC2768" s="2" t="s">
        <v>57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3227</v>
      </c>
      <c r="AA2769" s="2" t="s">
        <v>46</v>
      </c>
      <c r="AB2769" s="2" t="s">
        <v>47</v>
      </c>
      <c r="AC2769" s="2" t="s">
        <v>57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hidden="1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3227</v>
      </c>
      <c r="AA2770" s="2" t="s">
        <v>46</v>
      </c>
      <c r="AB2770" s="2" t="s">
        <v>47</v>
      </c>
      <c r="AC2770" s="2" t="s">
        <v>57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3227</v>
      </c>
      <c r="AA2771" s="2" t="s">
        <v>87</v>
      </c>
      <c r="AB2771" s="2" t="s">
        <v>119</v>
      </c>
      <c r="AC2771" s="2" t="s">
        <v>166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hidden="1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3227</v>
      </c>
      <c r="AA2772" s="2" t="s">
        <v>87</v>
      </c>
      <c r="AB2772" s="2" t="s">
        <v>119</v>
      </c>
      <c r="AC2772" s="2" t="s">
        <v>166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hidden="1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3227</v>
      </c>
      <c r="AA2773" s="2" t="s">
        <v>87</v>
      </c>
      <c r="AB2773" s="2" t="s">
        <v>90</v>
      </c>
      <c r="AC2773" s="2" t="s">
        <v>84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hidden="1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3227</v>
      </c>
      <c r="AA2774" s="2" t="s">
        <v>46</v>
      </c>
      <c r="AB2774" s="2" t="s">
        <v>56</v>
      </c>
      <c r="AC2774" s="2" t="s">
        <v>57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hidden="1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3227</v>
      </c>
      <c r="AA2775" s="2" t="s">
        <v>46</v>
      </c>
      <c r="AB2775" s="2" t="s">
        <v>56</v>
      </c>
      <c r="AC2775" s="2" t="s">
        <v>57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hidden="1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3227</v>
      </c>
      <c r="AA2776" s="2" t="s">
        <v>46</v>
      </c>
      <c r="AB2776" s="2" t="s">
        <v>56</v>
      </c>
      <c r="AC2776" s="2" t="s">
        <v>57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hidden="1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3227</v>
      </c>
      <c r="AA2777" s="2" t="s">
        <v>46</v>
      </c>
      <c r="AB2777" s="2" t="s">
        <v>56</v>
      </c>
      <c r="AC2777" s="2" t="s">
        <v>57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hidden="1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3227</v>
      </c>
      <c r="AA2778" s="2" t="s">
        <v>46</v>
      </c>
      <c r="AB2778" s="2" t="s">
        <v>56</v>
      </c>
      <c r="AC2778" s="2" t="s">
        <v>57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hidden="1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3227</v>
      </c>
      <c r="AA2779" s="2" t="s">
        <v>46</v>
      </c>
      <c r="AB2779" s="2" t="s">
        <v>56</v>
      </c>
      <c r="AC2779" s="2" t="s">
        <v>57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hidden="1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3227</v>
      </c>
      <c r="AA2780" s="2" t="s">
        <v>46</v>
      </c>
      <c r="AB2780" s="2" t="s">
        <v>56</v>
      </c>
      <c r="AC2780" s="2" t="s">
        <v>57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hidden="1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3227</v>
      </c>
      <c r="AA2781" s="2" t="s">
        <v>46</v>
      </c>
      <c r="AB2781" s="2" t="s">
        <v>60</v>
      </c>
      <c r="AC2781" s="2" t="s">
        <v>57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hidden="1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3227</v>
      </c>
      <c r="AA2782" s="2" t="s">
        <v>46</v>
      </c>
      <c r="AB2782" s="2" t="s">
        <v>60</v>
      </c>
      <c r="AC2782" s="2" t="s">
        <v>57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hidden="1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3227</v>
      </c>
      <c r="AA2783" s="2" t="s">
        <v>46</v>
      </c>
      <c r="AB2783" s="2" t="s">
        <v>67</v>
      </c>
      <c r="AC2783" s="2" t="s">
        <v>57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hidden="1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3227</v>
      </c>
      <c r="AA2784" s="2" t="s">
        <v>46</v>
      </c>
      <c r="AB2784" s="2" t="s">
        <v>60</v>
      </c>
      <c r="AC2784" s="2" t="s">
        <v>57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hidden="1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3227</v>
      </c>
      <c r="AA2785" s="2" t="s">
        <v>75</v>
      </c>
      <c r="AB2785" s="2" t="s">
        <v>76</v>
      </c>
      <c r="AC2785" s="2" t="s">
        <v>77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3227</v>
      </c>
      <c r="AA2786" s="2" t="s">
        <v>96</v>
      </c>
      <c r="AB2786" s="2" t="s">
        <v>76</v>
      </c>
      <c r="AC2786" s="2" t="s">
        <v>93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hidden="1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hidden="1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3227</v>
      </c>
      <c r="AA2788" s="2" t="s">
        <v>71</v>
      </c>
      <c r="AB2788" s="2" t="s">
        <v>119</v>
      </c>
      <c r="AC2788" s="2" t="s">
        <v>119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hidden="1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3227</v>
      </c>
      <c r="AA2789" s="2" t="s">
        <v>46</v>
      </c>
      <c r="AB2789" s="2" t="s">
        <v>60</v>
      </c>
      <c r="AC2789" s="2" t="s">
        <v>3332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hidden="1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3227</v>
      </c>
      <c r="AA2790" s="2" t="s">
        <v>46</v>
      </c>
      <c r="AB2790" s="2" t="s">
        <v>47</v>
      </c>
      <c r="AC2790" s="2" t="s">
        <v>57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hidden="1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3227</v>
      </c>
      <c r="AA2791" s="2" t="s">
        <v>46</v>
      </c>
      <c r="AB2791" s="2" t="s">
        <v>47</v>
      </c>
      <c r="AC2791" s="2" t="s">
        <v>57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hidden="1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3227</v>
      </c>
      <c r="AA2792" s="2" t="s">
        <v>46</v>
      </c>
      <c r="AB2792" s="2" t="s">
        <v>56</v>
      </c>
      <c r="AC2792" s="2" t="s">
        <v>57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hidden="1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3227</v>
      </c>
      <c r="AA2793" s="2" t="s">
        <v>46</v>
      </c>
      <c r="AB2793" s="2" t="s">
        <v>56</v>
      </c>
      <c r="AC2793" s="2" t="s">
        <v>57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hidden="1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3227</v>
      </c>
      <c r="AA2794" s="2" t="s">
        <v>46</v>
      </c>
      <c r="AB2794" s="2" t="s">
        <v>56</v>
      </c>
      <c r="AC2794" s="2" t="s">
        <v>57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hidden="1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3227</v>
      </c>
      <c r="AA2795" s="2" t="s">
        <v>46</v>
      </c>
      <c r="AB2795" s="2" t="s">
        <v>56</v>
      </c>
      <c r="AC2795" s="2" t="s">
        <v>57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hidden="1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3227</v>
      </c>
      <c r="AA2796" s="2" t="s">
        <v>46</v>
      </c>
      <c r="AB2796" s="2" t="s">
        <v>60</v>
      </c>
      <c r="AC2796" s="2" t="s">
        <v>57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3227</v>
      </c>
      <c r="AA2797" s="2" t="s">
        <v>46</v>
      </c>
      <c r="AB2797" s="2" t="s">
        <v>60</v>
      </c>
      <c r="AC2797" s="2" t="s">
        <v>57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3227</v>
      </c>
      <c r="AA2798" s="2" t="s">
        <v>46</v>
      </c>
      <c r="AB2798" s="2" t="s">
        <v>67</v>
      </c>
      <c r="AC2798" s="2" t="s">
        <v>57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6"/>
        <v>-0.2</v>
      </c>
      <c r="Z2801" s="2" t="s">
        <v>169</v>
      </c>
      <c r="AA2801" s="2" t="s">
        <v>169</v>
      </c>
      <c r="AF2801" s="2">
        <f t="shared" si="380"/>
        <v>0</v>
      </c>
      <c r="AJ2801" s="2">
        <f t="shared" si="381"/>
        <v>0</v>
      </c>
      <c r="AK2801" s="2">
        <f t="shared" si="383"/>
        <v>-1</v>
      </c>
      <c r="AL2801" s="5">
        <f t="shared" si="387"/>
        <v>-0.2</v>
      </c>
    </row>
    <row r="2802" spans="1:38" hidden="1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3227</v>
      </c>
      <c r="AA2802" s="2" t="s">
        <v>75</v>
      </c>
      <c r="AB2802" s="2" t="s">
        <v>76</v>
      </c>
      <c r="AC2802" s="2" t="s">
        <v>77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3227</v>
      </c>
      <c r="AA2803" s="2" t="s">
        <v>96</v>
      </c>
      <c r="AB2803" s="2" t="s">
        <v>76</v>
      </c>
      <c r="AC2803" s="2" t="s">
        <v>93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hidden="1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hidden="1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hidden="1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3227</v>
      </c>
      <c r="AA2806" s="2" t="s">
        <v>75</v>
      </c>
      <c r="AB2806" s="2" t="s">
        <v>76</v>
      </c>
      <c r="AC2806" s="2" t="s">
        <v>77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3227</v>
      </c>
      <c r="AA2807" s="2" t="s">
        <v>96</v>
      </c>
      <c r="AB2807" s="2" t="s">
        <v>76</v>
      </c>
      <c r="AC2807" s="2" t="s">
        <v>93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hidden="1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3227</v>
      </c>
      <c r="AA2808" s="2" t="s">
        <v>71</v>
      </c>
      <c r="AB2808" s="2" t="s">
        <v>119</v>
      </c>
      <c r="AC2808" s="2" t="s">
        <v>119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hidden="1" x14ac:dyDescent="0.2">
      <c r="A2809" s="2">
        <v>2025</v>
      </c>
      <c r="B2809" s="2">
        <v>9</v>
      </c>
      <c r="D2809" s="2" t="s">
        <v>674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hidden="1" x14ac:dyDescent="0.2">
      <c r="A2810" s="2">
        <v>2025</v>
      </c>
      <c r="B2810" s="2">
        <v>9</v>
      </c>
      <c r="D2810" s="2" t="s">
        <v>674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hidden="1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hidden="1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3227</v>
      </c>
      <c r="AA2813" s="2" t="s">
        <v>46</v>
      </c>
      <c r="AB2813" s="2" t="s">
        <v>56</v>
      </c>
      <c r="AC2813" s="2" t="s">
        <v>57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3227</v>
      </c>
      <c r="AA2814" s="2" t="s">
        <v>46</v>
      </c>
      <c r="AB2814" s="2" t="s">
        <v>56</v>
      </c>
      <c r="AC2814" s="2" t="s">
        <v>57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hidden="1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3227</v>
      </c>
      <c r="AA2815" s="2" t="s">
        <v>46</v>
      </c>
      <c r="AB2815" s="2" t="s">
        <v>56</v>
      </c>
      <c r="AC2815" s="2" t="s">
        <v>57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hidden="1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3227</v>
      </c>
      <c r="AA2816" s="2" t="s">
        <v>46</v>
      </c>
      <c r="AB2816" s="2" t="s">
        <v>60</v>
      </c>
      <c r="AC2816" s="2" t="s">
        <v>57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3227</v>
      </c>
      <c r="AA2817" s="2" t="s">
        <v>46</v>
      </c>
      <c r="AB2817" s="2" t="s">
        <v>60</v>
      </c>
      <c r="AC2817" s="2" t="s">
        <v>57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hidden="1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3227</v>
      </c>
      <c r="AA2818" s="2" t="s">
        <v>46</v>
      </c>
      <c r="AB2818" s="2" t="s">
        <v>67</v>
      </c>
      <c r="AC2818" s="2" t="s">
        <v>57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hidden="1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hidden="1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hidden="1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hidden="1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hidden="1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1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32.85</v>
      </c>
      <c r="AL2839" s="5">
        <f t="shared" si="392"/>
        <v>0.51764891270091395</v>
      </c>
    </row>
    <row r="2840" spans="1:38" hidden="1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117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117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hidden="1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117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hidden="1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582</v>
      </c>
      <c r="E2850" s="2" t="s">
        <v>108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582</v>
      </c>
      <c r="E2851" s="2" t="s">
        <v>108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582</v>
      </c>
      <c r="E2852" s="2" t="s">
        <v>108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3327</v>
      </c>
      <c r="D2855" s="2" t="s">
        <v>3328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973</v>
      </c>
      <c r="M2859" s="2" t="s">
        <v>3301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3227</v>
      </c>
      <c r="AA2861" s="2" t="s">
        <v>71</v>
      </c>
      <c r="AB2861" s="2" t="s">
        <v>1600</v>
      </c>
      <c r="AC2861" s="2" t="s">
        <v>1600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3227</v>
      </c>
      <c r="AA2862" s="2" t="s">
        <v>71</v>
      </c>
      <c r="AB2862" s="2" t="s">
        <v>1600</v>
      </c>
      <c r="AC2862" s="2" t="s">
        <v>1600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3227</v>
      </c>
      <c r="AA2864" s="2" t="s">
        <v>46</v>
      </c>
      <c r="AB2864" s="2" t="s">
        <v>60</v>
      </c>
      <c r="AC2864" s="2" t="s">
        <v>3332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hidden="1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3227</v>
      </c>
      <c r="AA2865" s="2" t="s">
        <v>46</v>
      </c>
      <c r="AB2865" s="2" t="s">
        <v>60</v>
      </c>
      <c r="AC2865" s="2" t="s">
        <v>3332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3227</v>
      </c>
      <c r="AA2866" s="2" t="s">
        <v>46</v>
      </c>
      <c r="AB2866" s="2" t="s">
        <v>60</v>
      </c>
      <c r="AC2866" s="2" t="s">
        <v>3332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3227</v>
      </c>
      <c r="AA2867" s="2" t="s">
        <v>46</v>
      </c>
      <c r="AB2867" s="2" t="s">
        <v>60</v>
      </c>
      <c r="AC2867" s="2" t="s">
        <v>3332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3227</v>
      </c>
      <c r="AA2868" s="2" t="s">
        <v>46</v>
      </c>
      <c r="AB2868" s="2" t="s">
        <v>47</v>
      </c>
      <c r="AC2868" s="2" t="s">
        <v>57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3227</v>
      </c>
      <c r="AA2869" s="2" t="s">
        <v>46</v>
      </c>
      <c r="AB2869" s="2" t="s">
        <v>47</v>
      </c>
      <c r="AC2869" s="2" t="s">
        <v>57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3227</v>
      </c>
      <c r="AA2870" s="2" t="s">
        <v>46</v>
      </c>
      <c r="AB2870" s="2" t="s">
        <v>47</v>
      </c>
      <c r="AC2870" s="2" t="s">
        <v>57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3227</v>
      </c>
      <c r="AA2871" s="2" t="s">
        <v>46</v>
      </c>
      <c r="AB2871" s="2" t="s">
        <v>47</v>
      </c>
      <c r="AC2871" s="2" t="s">
        <v>57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hidden="1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3227</v>
      </c>
      <c r="AA2872" s="2" t="s">
        <v>46</v>
      </c>
      <c r="AB2872" s="2" t="s">
        <v>47</v>
      </c>
      <c r="AC2872" s="2" t="s">
        <v>57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3227</v>
      </c>
      <c r="AA2873" s="2" t="s">
        <v>46</v>
      </c>
      <c r="AB2873" s="2" t="s">
        <v>47</v>
      </c>
      <c r="AC2873" s="2" t="s">
        <v>57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3227</v>
      </c>
      <c r="AA2874" s="2" t="s">
        <v>46</v>
      </c>
      <c r="AB2874" s="2" t="s">
        <v>47</v>
      </c>
      <c r="AC2874" s="2" t="s">
        <v>57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3227</v>
      </c>
      <c r="AA2875" s="2" t="s">
        <v>46</v>
      </c>
      <c r="AB2875" s="2" t="s">
        <v>47</v>
      </c>
      <c r="AC2875" s="2" t="s">
        <v>57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hidden="1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3227</v>
      </c>
      <c r="AA2876" s="2" t="s">
        <v>46</v>
      </c>
      <c r="AB2876" s="2" t="s">
        <v>47</v>
      </c>
      <c r="AC2876" s="2" t="s">
        <v>57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3227</v>
      </c>
      <c r="AA2877" s="2" t="s">
        <v>46</v>
      </c>
      <c r="AB2877" s="2" t="s">
        <v>47</v>
      </c>
      <c r="AC2877" s="2" t="s">
        <v>57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3227</v>
      </c>
      <c r="AA2878" s="2" t="s">
        <v>46</v>
      </c>
      <c r="AB2878" s="2" t="s">
        <v>56</v>
      </c>
      <c r="AC2878" s="2" t="s">
        <v>57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hidden="1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3227</v>
      </c>
      <c r="AA2879" s="2" t="s">
        <v>46</v>
      </c>
      <c r="AB2879" s="2" t="s">
        <v>56</v>
      </c>
      <c r="AC2879" s="2" t="s">
        <v>57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hidden="1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3227</v>
      </c>
      <c r="AA2880" s="2" t="s">
        <v>46</v>
      </c>
      <c r="AB2880" s="2" t="s">
        <v>56</v>
      </c>
      <c r="AC2880" s="2" t="s">
        <v>57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hidden="1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3227</v>
      </c>
      <c r="AA2881" s="2" t="s">
        <v>46</v>
      </c>
      <c r="AB2881" s="2" t="s">
        <v>56</v>
      </c>
      <c r="AC2881" s="2" t="s">
        <v>57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3227</v>
      </c>
      <c r="AA2882" s="2" t="s">
        <v>46</v>
      </c>
      <c r="AB2882" s="2" t="s">
        <v>56</v>
      </c>
      <c r="AC2882" s="2" t="s">
        <v>57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3227</v>
      </c>
      <c r="AA2883" s="2" t="s">
        <v>46</v>
      </c>
      <c r="AB2883" s="2" t="s">
        <v>56</v>
      </c>
      <c r="AC2883" s="2" t="s">
        <v>57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3227</v>
      </c>
      <c r="AA2884" s="2" t="s">
        <v>46</v>
      </c>
      <c r="AB2884" s="2" t="s">
        <v>56</v>
      </c>
      <c r="AC2884" s="2" t="s">
        <v>57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3227</v>
      </c>
      <c r="AA2885" s="2" t="s">
        <v>46</v>
      </c>
      <c r="AB2885" s="2" t="s">
        <v>56</v>
      </c>
      <c r="AC2885" s="2" t="s">
        <v>57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3227</v>
      </c>
      <c r="AA2886" s="2" t="s">
        <v>46</v>
      </c>
      <c r="AB2886" s="2" t="s">
        <v>56</v>
      </c>
      <c r="AC2886" s="2" t="s">
        <v>57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hidden="1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3227</v>
      </c>
      <c r="AA2887" s="2" t="s">
        <v>46</v>
      </c>
      <c r="AB2887" s="2" t="s">
        <v>56</v>
      </c>
      <c r="AC2887" s="2" t="s">
        <v>57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3227</v>
      </c>
      <c r="AA2888" s="2" t="s">
        <v>46</v>
      </c>
      <c r="AB2888" s="2" t="s">
        <v>56</v>
      </c>
      <c r="AC2888" s="2" t="s">
        <v>57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hidden="1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3227</v>
      </c>
      <c r="AA2889" s="2" t="s">
        <v>46</v>
      </c>
      <c r="AB2889" s="2" t="s">
        <v>56</v>
      </c>
      <c r="AC2889" s="2" t="s">
        <v>57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hidden="1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3227</v>
      </c>
      <c r="AA2890" s="2" t="s">
        <v>46</v>
      </c>
      <c r="AB2890" s="2" t="s">
        <v>56</v>
      </c>
      <c r="AC2890" s="2" t="s">
        <v>57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3227</v>
      </c>
      <c r="AA2891" s="2" t="s">
        <v>46</v>
      </c>
      <c r="AB2891" s="2" t="s">
        <v>56</v>
      </c>
      <c r="AC2891" s="2" t="s">
        <v>57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hidden="1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3227</v>
      </c>
      <c r="AA2892" s="2" t="s">
        <v>46</v>
      </c>
      <c r="AB2892" s="2" t="s">
        <v>56</v>
      </c>
      <c r="AC2892" s="2" t="s">
        <v>57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hidden="1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3227</v>
      </c>
      <c r="AA2893" s="2" t="s">
        <v>46</v>
      </c>
      <c r="AB2893" s="2" t="s">
        <v>56</v>
      </c>
      <c r="AC2893" s="2" t="s">
        <v>57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3227</v>
      </c>
      <c r="AA2894" s="2" t="s">
        <v>46</v>
      </c>
      <c r="AB2894" s="2" t="s">
        <v>56</v>
      </c>
      <c r="AC2894" s="2" t="s">
        <v>57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hidden="1" x14ac:dyDescent="0.2">
      <c r="A2895" s="2">
        <v>2026</v>
      </c>
      <c r="B2895" s="2">
        <v>1</v>
      </c>
      <c r="C2895" s="2" t="s">
        <v>3474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3227</v>
      </c>
      <c r="AA2895" s="2" t="s">
        <v>46</v>
      </c>
      <c r="AB2895" s="2" t="s">
        <v>56</v>
      </c>
      <c r="AC2895" s="2" t="s">
        <v>57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3227</v>
      </c>
      <c r="AA2896" s="2" t="s">
        <v>46</v>
      </c>
      <c r="AB2896" s="2" t="s">
        <v>56</v>
      </c>
      <c r="AC2896" s="2" t="s">
        <v>57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3227</v>
      </c>
      <c r="AA2897" s="2" t="s">
        <v>46</v>
      </c>
      <c r="AB2897" s="2" t="s">
        <v>56</v>
      </c>
      <c r="AC2897" s="2" t="s">
        <v>57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3227</v>
      </c>
      <c r="AA2898" s="2" t="s">
        <v>46</v>
      </c>
      <c r="AB2898" s="2" t="s">
        <v>56</v>
      </c>
      <c r="AC2898" s="2" t="s">
        <v>57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3227</v>
      </c>
      <c r="AA2899" s="2" t="s">
        <v>46</v>
      </c>
      <c r="AB2899" s="2" t="s">
        <v>56</v>
      </c>
      <c r="AC2899" s="2" t="s">
        <v>57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3227</v>
      </c>
      <c r="AA2900" s="2" t="s">
        <v>46</v>
      </c>
      <c r="AB2900" s="2" t="s">
        <v>56</v>
      </c>
      <c r="AC2900" s="2" t="s">
        <v>57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3227</v>
      </c>
      <c r="AA2901" s="2" t="s">
        <v>46</v>
      </c>
      <c r="AB2901" s="2" t="s">
        <v>56</v>
      </c>
      <c r="AC2901" s="2" t="s">
        <v>57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3227</v>
      </c>
      <c r="AA2902" s="2" t="s">
        <v>46</v>
      </c>
      <c r="AB2902" s="2" t="s">
        <v>56</v>
      </c>
      <c r="AC2902" s="2" t="s">
        <v>57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3227</v>
      </c>
      <c r="AA2903" s="2" t="s">
        <v>46</v>
      </c>
      <c r="AB2903" s="2" t="s">
        <v>56</v>
      </c>
      <c r="AC2903" s="2" t="s">
        <v>57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3227</v>
      </c>
      <c r="AA2904" s="2" t="s">
        <v>46</v>
      </c>
      <c r="AB2904" s="2" t="s">
        <v>56</v>
      </c>
      <c r="AC2904" s="2" t="s">
        <v>57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3217</v>
      </c>
      <c r="J2905" s="2" t="s">
        <v>3216</v>
      </c>
      <c r="K2905" s="2">
        <v>913814877</v>
      </c>
      <c r="L2905" s="2" t="s">
        <v>201</v>
      </c>
      <c r="M2905" s="2" t="s">
        <v>80</v>
      </c>
      <c r="O2905" s="2" t="s">
        <v>3211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3227</v>
      </c>
      <c r="AA2905" s="2" t="s">
        <v>46</v>
      </c>
      <c r="AB2905" s="2" t="s">
        <v>56</v>
      </c>
      <c r="AC2905" s="2" t="s">
        <v>57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3227</v>
      </c>
      <c r="AA2906" s="2" t="s">
        <v>46</v>
      </c>
      <c r="AB2906" s="2" t="s">
        <v>56</v>
      </c>
      <c r="AC2906" s="2" t="s">
        <v>57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3227</v>
      </c>
      <c r="AA2907" s="2" t="s">
        <v>46</v>
      </c>
      <c r="AB2907" s="2" t="s">
        <v>56</v>
      </c>
      <c r="AC2907" s="2" t="s">
        <v>57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3227</v>
      </c>
      <c r="AA2908" s="2" t="s">
        <v>46</v>
      </c>
      <c r="AB2908" s="2" t="s">
        <v>56</v>
      </c>
      <c r="AC2908" s="2" t="s">
        <v>57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3227</v>
      </c>
      <c r="AA2909" s="2" t="s">
        <v>46</v>
      </c>
      <c r="AB2909" s="2" t="s">
        <v>56</v>
      </c>
      <c r="AC2909" s="2" t="s">
        <v>57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3227</v>
      </c>
      <c r="AA2910" s="2" t="s">
        <v>46</v>
      </c>
      <c r="AB2910" s="2" t="s">
        <v>56</v>
      </c>
      <c r="AC2910" s="2" t="s">
        <v>57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hidden="1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3227</v>
      </c>
      <c r="AA2911" s="2" t="s">
        <v>46</v>
      </c>
      <c r="AB2911" s="2" t="s">
        <v>90</v>
      </c>
      <c r="AC2911" s="2" t="s">
        <v>57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3227</v>
      </c>
      <c r="AA2912" s="2" t="s">
        <v>46</v>
      </c>
      <c r="AB2912" s="2" t="s">
        <v>56</v>
      </c>
      <c r="AC2912" s="2" t="s">
        <v>57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3227</v>
      </c>
      <c r="AA2913" s="2" t="s">
        <v>46</v>
      </c>
      <c r="AB2913" s="2" t="s">
        <v>60</v>
      </c>
      <c r="AC2913" s="2" t="s">
        <v>57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3227</v>
      </c>
      <c r="AA2914" s="2" t="s">
        <v>46</v>
      </c>
      <c r="AB2914" s="2" t="s">
        <v>60</v>
      </c>
      <c r="AC2914" s="2" t="s">
        <v>57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3227</v>
      </c>
      <c r="AA2915" s="2" t="s">
        <v>46</v>
      </c>
      <c r="AB2915" s="2" t="s">
        <v>60</v>
      </c>
      <c r="AC2915" s="2" t="s">
        <v>57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3227</v>
      </c>
      <c r="AA2916" s="2" t="s">
        <v>46</v>
      </c>
      <c r="AB2916" s="2" t="s">
        <v>60</v>
      </c>
      <c r="AC2916" s="2" t="s">
        <v>57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3227</v>
      </c>
      <c r="AA2917" s="2" t="s">
        <v>46</v>
      </c>
      <c r="AB2917" s="2" t="s">
        <v>60</v>
      </c>
      <c r="AC2917" s="2" t="s">
        <v>57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3227</v>
      </c>
      <c r="AA2918" s="2" t="s">
        <v>46</v>
      </c>
      <c r="AB2918" s="2" t="s">
        <v>60</v>
      </c>
      <c r="AC2918" s="2" t="s">
        <v>57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3227</v>
      </c>
      <c r="AA2919" s="2" t="s">
        <v>46</v>
      </c>
      <c r="AB2919" s="2" t="s">
        <v>60</v>
      </c>
      <c r="AC2919" s="2" t="s">
        <v>57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3227</v>
      </c>
      <c r="AA2920" s="2" t="s">
        <v>46</v>
      </c>
      <c r="AB2920" s="2" t="s">
        <v>60</v>
      </c>
      <c r="AC2920" s="2" t="s">
        <v>57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3227</v>
      </c>
      <c r="AA2921" s="2" t="s">
        <v>46</v>
      </c>
      <c r="AB2921" s="2" t="s">
        <v>60</v>
      </c>
      <c r="AC2921" s="2" t="s">
        <v>57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3227</v>
      </c>
      <c r="AA2922" s="2" t="s">
        <v>46</v>
      </c>
      <c r="AB2922" s="2" t="s">
        <v>60</v>
      </c>
      <c r="AC2922" s="2" t="s">
        <v>57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3227</v>
      </c>
      <c r="AA2923" s="2" t="s">
        <v>46</v>
      </c>
      <c r="AB2923" s="2" t="s">
        <v>60</v>
      </c>
      <c r="AC2923" s="2" t="s">
        <v>57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3227</v>
      </c>
      <c r="AA2924" s="2" t="s">
        <v>46</v>
      </c>
      <c r="AB2924" s="2" t="s">
        <v>60</v>
      </c>
      <c r="AC2924" s="2" t="s">
        <v>57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3227</v>
      </c>
      <c r="AA2925" s="2" t="s">
        <v>46</v>
      </c>
      <c r="AB2925" s="2" t="s">
        <v>47</v>
      </c>
      <c r="AC2925" s="2" t="s">
        <v>57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hidden="1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3227</v>
      </c>
      <c r="AA2926" s="2" t="s">
        <v>46</v>
      </c>
      <c r="AB2926" s="2" t="s">
        <v>60</v>
      </c>
      <c r="AC2926" s="2" t="s">
        <v>57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3227</v>
      </c>
      <c r="AA2927" s="2" t="s">
        <v>46</v>
      </c>
      <c r="AB2927" s="2" t="s">
        <v>60</v>
      </c>
      <c r="AC2927" s="2" t="s">
        <v>57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3227</v>
      </c>
      <c r="AA2928" s="2" t="s">
        <v>46</v>
      </c>
      <c r="AB2928" s="2" t="s">
        <v>90</v>
      </c>
      <c r="AC2928" s="2" t="s">
        <v>57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hidden="1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3227</v>
      </c>
      <c r="AA2929" s="2" t="s">
        <v>46</v>
      </c>
      <c r="AB2929" s="2" t="s">
        <v>90</v>
      </c>
      <c r="AC2929" s="2" t="s">
        <v>57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hidden="1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3227</v>
      </c>
      <c r="AA2930" s="2" t="s">
        <v>46</v>
      </c>
      <c r="AB2930" s="2" t="s">
        <v>60</v>
      </c>
      <c r="AC2930" s="2" t="s">
        <v>57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hidden="1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3227</v>
      </c>
      <c r="AA2931" s="2" t="s">
        <v>46</v>
      </c>
      <c r="AB2931" s="2" t="s">
        <v>60</v>
      </c>
      <c r="AC2931" s="2" t="s">
        <v>57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hidden="1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3227</v>
      </c>
      <c r="AA2932" s="2" t="s">
        <v>46</v>
      </c>
      <c r="AB2932" s="2" t="s">
        <v>67</v>
      </c>
      <c r="AC2932" s="2" t="s">
        <v>57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3227</v>
      </c>
      <c r="AA2933" s="2" t="s">
        <v>46</v>
      </c>
      <c r="AB2933" s="2" t="s">
        <v>67</v>
      </c>
      <c r="AC2933" s="2" t="s">
        <v>57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3227</v>
      </c>
      <c r="AA2934" s="2" t="s">
        <v>46</v>
      </c>
      <c r="AB2934" s="2" t="s">
        <v>67</v>
      </c>
      <c r="AC2934" s="2" t="s">
        <v>57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3227</v>
      </c>
      <c r="AA2935" s="2" t="s">
        <v>46</v>
      </c>
      <c r="AB2935" s="2" t="s">
        <v>67</v>
      </c>
      <c r="AC2935" s="2" t="s">
        <v>57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582</v>
      </c>
      <c r="E2936" s="2" t="s">
        <v>108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3227</v>
      </c>
      <c r="AA2936" s="2" t="s">
        <v>46</v>
      </c>
      <c r="AB2936" s="2" t="s">
        <v>67</v>
      </c>
      <c r="AC2936" s="2" t="s">
        <v>57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3227</v>
      </c>
      <c r="AA2937" s="2" t="s">
        <v>46</v>
      </c>
      <c r="AB2937" s="2" t="s">
        <v>67</v>
      </c>
      <c r="AC2937" s="2" t="s">
        <v>57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3270</v>
      </c>
      <c r="M2938" s="2" t="s">
        <v>109</v>
      </c>
      <c r="P2938" s="2" t="s">
        <v>3230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3230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3227</v>
      </c>
      <c r="AA2939" s="2" t="s">
        <v>87</v>
      </c>
      <c r="AB2939" s="2" t="s">
        <v>119</v>
      </c>
      <c r="AC2939" s="2" t="s">
        <v>166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hidden="1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104</v>
      </c>
      <c r="AA2940" s="2" t="s">
        <v>305</v>
      </c>
      <c r="AB2940" s="2" t="s">
        <v>106</v>
      </c>
      <c r="AC2940" s="2" t="s">
        <v>3231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hidden="1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3231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3227</v>
      </c>
      <c r="AA2942" s="2" t="s">
        <v>75</v>
      </c>
      <c r="AB2942" s="2" t="s">
        <v>76</v>
      </c>
      <c r="AC2942" s="2" t="s">
        <v>77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3227</v>
      </c>
      <c r="AA2943" s="2" t="s">
        <v>75</v>
      </c>
      <c r="AB2943" s="2" t="s">
        <v>76</v>
      </c>
      <c r="AC2943" s="2" t="s">
        <v>77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198</v>
      </c>
      <c r="E2944" s="2" t="s">
        <v>108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3227</v>
      </c>
      <c r="AA2944" s="2" t="s">
        <v>75</v>
      </c>
      <c r="AB2944" s="2" t="s">
        <v>76</v>
      </c>
      <c r="AC2944" s="2" t="s">
        <v>77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hidden="1" x14ac:dyDescent="0.2">
      <c r="A2945" s="2">
        <v>2026</v>
      </c>
      <c r="B2945" s="2">
        <v>1</v>
      </c>
      <c r="C2945" s="2" t="s">
        <v>3327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3227</v>
      </c>
      <c r="AA2945" s="2" t="s">
        <v>75</v>
      </c>
      <c r="AB2945" s="2" t="s">
        <v>76</v>
      </c>
      <c r="AC2945" s="2" t="s">
        <v>77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hidden="1" x14ac:dyDescent="0.2">
      <c r="A2946" s="2">
        <v>2026</v>
      </c>
      <c r="B2946" s="2">
        <v>1</v>
      </c>
      <c r="C2946" s="2" t="s">
        <v>3327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3227</v>
      </c>
      <c r="AA2946" s="2" t="s">
        <v>75</v>
      </c>
      <c r="AB2946" s="2" t="s">
        <v>76</v>
      </c>
      <c r="AC2946" s="2" t="s">
        <v>77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3227</v>
      </c>
      <c r="AA2947" s="2" t="s">
        <v>75</v>
      </c>
      <c r="AB2947" s="2" t="s">
        <v>76</v>
      </c>
      <c r="AC2947" s="2" t="s">
        <v>77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hidden="1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3227</v>
      </c>
      <c r="AA2948" s="2" t="s">
        <v>75</v>
      </c>
      <c r="AB2948" s="2" t="s">
        <v>76</v>
      </c>
      <c r="AC2948" s="2" t="s">
        <v>77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3227</v>
      </c>
      <c r="AA2949" s="2" t="s">
        <v>75</v>
      </c>
      <c r="AB2949" s="2" t="s">
        <v>76</v>
      </c>
      <c r="AC2949" s="2" t="s">
        <v>77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3227</v>
      </c>
      <c r="AA2950" s="2" t="s">
        <v>75</v>
      </c>
      <c r="AB2950" s="2" t="s">
        <v>76</v>
      </c>
      <c r="AC2950" s="2" t="s">
        <v>77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3227</v>
      </c>
      <c r="AA2951" s="2" t="s">
        <v>75</v>
      </c>
      <c r="AB2951" s="2" t="s">
        <v>76</v>
      </c>
      <c r="AC2951" s="2" t="s">
        <v>77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3227</v>
      </c>
      <c r="AA2952" s="2" t="s">
        <v>75</v>
      </c>
      <c r="AB2952" s="2" t="s">
        <v>76</v>
      </c>
      <c r="AC2952" s="2" t="s">
        <v>77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3227</v>
      </c>
      <c r="AA2953" s="2" t="s">
        <v>75</v>
      </c>
      <c r="AB2953" s="2" t="s">
        <v>76</v>
      </c>
      <c r="AC2953" s="2" t="s">
        <v>77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3227</v>
      </c>
      <c r="AA2954" s="2" t="s">
        <v>75</v>
      </c>
      <c r="AB2954" s="2" t="s">
        <v>76</v>
      </c>
      <c r="AC2954" s="2" t="s">
        <v>77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3227</v>
      </c>
      <c r="AA2955" s="2" t="s">
        <v>75</v>
      </c>
      <c r="AB2955" s="2" t="s">
        <v>76</v>
      </c>
      <c r="AC2955" s="2" t="s">
        <v>77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3227</v>
      </c>
      <c r="AA2956" s="2" t="s">
        <v>75</v>
      </c>
      <c r="AB2956" s="2" t="s">
        <v>76</v>
      </c>
      <c r="AC2956" s="2" t="s">
        <v>77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3227</v>
      </c>
      <c r="AA2957" s="2" t="s">
        <v>75</v>
      </c>
      <c r="AB2957" s="2" t="s">
        <v>76</v>
      </c>
      <c r="AC2957" s="2" t="s">
        <v>77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3227</v>
      </c>
      <c r="AA2958" s="2" t="s">
        <v>75</v>
      </c>
      <c r="AB2958" s="2" t="s">
        <v>76</v>
      </c>
      <c r="AC2958" s="2" t="s">
        <v>77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3227</v>
      </c>
      <c r="AA2959" s="2" t="s">
        <v>75</v>
      </c>
      <c r="AB2959" s="2" t="s">
        <v>76</v>
      </c>
      <c r="AC2959" s="2" t="s">
        <v>77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3227</v>
      </c>
      <c r="AA2960" s="2" t="s">
        <v>75</v>
      </c>
      <c r="AB2960" s="2" t="s">
        <v>76</v>
      </c>
      <c r="AC2960" s="2" t="s">
        <v>77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3227</v>
      </c>
      <c r="AA2961" s="2" t="s">
        <v>75</v>
      </c>
      <c r="AB2961" s="2" t="s">
        <v>76</v>
      </c>
      <c r="AC2961" s="2" t="s">
        <v>77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3227</v>
      </c>
      <c r="AA2962" s="2" t="s">
        <v>75</v>
      </c>
      <c r="AB2962" s="2" t="s">
        <v>76</v>
      </c>
      <c r="AC2962" s="2" t="s">
        <v>77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1073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3227</v>
      </c>
      <c r="AA2963" s="2" t="s">
        <v>75</v>
      </c>
      <c r="AB2963" s="2" t="s">
        <v>76</v>
      </c>
      <c r="AC2963" s="2" t="s">
        <v>77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3227</v>
      </c>
      <c r="AA2964" s="2" t="s">
        <v>75</v>
      </c>
      <c r="AB2964" s="2" t="s">
        <v>76</v>
      </c>
      <c r="AC2964" s="2" t="s">
        <v>77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3227</v>
      </c>
      <c r="AA2965" s="2" t="s">
        <v>75</v>
      </c>
      <c r="AB2965" s="2" t="s">
        <v>76</v>
      </c>
      <c r="AC2965" s="2" t="s">
        <v>77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3227</v>
      </c>
      <c r="AA2966" s="2" t="s">
        <v>75</v>
      </c>
      <c r="AB2966" s="2" t="s">
        <v>76</v>
      </c>
      <c r="AC2966" s="2" t="s">
        <v>77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3227</v>
      </c>
      <c r="AA2967" s="2" t="s">
        <v>75</v>
      </c>
      <c r="AB2967" s="2" t="s">
        <v>76</v>
      </c>
      <c r="AC2967" s="2" t="s">
        <v>77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hidden="1" x14ac:dyDescent="0.2">
      <c r="A2968" s="2">
        <v>2026</v>
      </c>
      <c r="B2968" s="2">
        <v>1</v>
      </c>
      <c r="C2968" s="2" t="s">
        <v>3327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3227</v>
      </c>
      <c r="AA2968" s="2" t="s">
        <v>75</v>
      </c>
      <c r="AB2968" s="2" t="s">
        <v>76</v>
      </c>
      <c r="AC2968" s="2" t="s">
        <v>77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3227</v>
      </c>
      <c r="AA2969" s="2" t="s">
        <v>75</v>
      </c>
      <c r="AB2969" s="2" t="s">
        <v>76</v>
      </c>
      <c r="AC2969" s="2" t="s">
        <v>77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3227</v>
      </c>
      <c r="AA2970" s="2" t="s">
        <v>46</v>
      </c>
      <c r="AB2970" s="2" t="s">
        <v>56</v>
      </c>
      <c r="AC2970" s="2" t="s">
        <v>57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3227</v>
      </c>
      <c r="AA2971" s="2" t="s">
        <v>75</v>
      </c>
      <c r="AB2971" s="2" t="s">
        <v>76</v>
      </c>
      <c r="AC2971" s="2" t="s">
        <v>77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3227</v>
      </c>
      <c r="AA2972" s="2" t="s">
        <v>75</v>
      </c>
      <c r="AB2972" s="2" t="s">
        <v>76</v>
      </c>
      <c r="AC2972" s="2" t="s">
        <v>77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3227</v>
      </c>
      <c r="AA2973" s="2" t="s">
        <v>75</v>
      </c>
      <c r="AB2973" s="2" t="s">
        <v>76</v>
      </c>
      <c r="AC2973" s="2" t="s">
        <v>77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3227</v>
      </c>
      <c r="AA2974" s="2" t="s">
        <v>75</v>
      </c>
      <c r="AB2974" s="2" t="s">
        <v>76</v>
      </c>
      <c r="AC2974" s="2" t="s">
        <v>77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3207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3227</v>
      </c>
      <c r="AA2975" s="2" t="s">
        <v>75</v>
      </c>
      <c r="AB2975" s="2" t="s">
        <v>76</v>
      </c>
      <c r="AC2975" s="2" t="s">
        <v>77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3227</v>
      </c>
      <c r="AA2976" s="2" t="s">
        <v>75</v>
      </c>
      <c r="AB2976" s="2" t="s">
        <v>76</v>
      </c>
      <c r="AC2976" s="2" t="s">
        <v>77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hidden="1" x14ac:dyDescent="0.2">
      <c r="A2977" s="2">
        <v>2026</v>
      </c>
      <c r="B2977" s="2">
        <v>1</v>
      </c>
      <c r="C2977" s="2" t="s">
        <v>3327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3197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3227</v>
      </c>
      <c r="AA2977" s="2" t="s">
        <v>75</v>
      </c>
      <c r="AB2977" s="2" t="s">
        <v>76</v>
      </c>
      <c r="AC2977" s="2" t="s">
        <v>77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3227</v>
      </c>
      <c r="AA2978" s="2" t="s">
        <v>75</v>
      </c>
      <c r="AB2978" s="2" t="s">
        <v>76</v>
      </c>
      <c r="AC2978" s="2" t="s">
        <v>77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hidden="1" x14ac:dyDescent="0.2">
      <c r="A2979" s="2">
        <v>2026</v>
      </c>
      <c r="B2979" s="2">
        <v>1</v>
      </c>
      <c r="C2979" s="2" t="s">
        <v>3327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3227</v>
      </c>
      <c r="AA2979" s="2" t="s">
        <v>75</v>
      </c>
      <c r="AB2979" s="2" t="s">
        <v>76</v>
      </c>
      <c r="AC2979" s="2" t="s">
        <v>77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3227</v>
      </c>
      <c r="AA2980" s="2" t="s">
        <v>75</v>
      </c>
      <c r="AB2980" s="2" t="s">
        <v>76</v>
      </c>
      <c r="AC2980" s="2" t="s">
        <v>77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3227</v>
      </c>
      <c r="AA2981" s="2" t="s">
        <v>75</v>
      </c>
      <c r="AB2981" s="2" t="s">
        <v>76</v>
      </c>
      <c r="AC2981" s="2" t="s">
        <v>77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3227</v>
      </c>
      <c r="AA2982" s="2" t="s">
        <v>75</v>
      </c>
      <c r="AB2982" s="2" t="s">
        <v>76</v>
      </c>
      <c r="AC2982" s="2" t="s">
        <v>77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3227</v>
      </c>
      <c r="AA2983" s="2" t="s">
        <v>75</v>
      </c>
      <c r="AB2983" s="2" t="s">
        <v>76</v>
      </c>
      <c r="AC2983" s="2" t="s">
        <v>77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3227</v>
      </c>
      <c r="AA2984" s="2" t="s">
        <v>75</v>
      </c>
      <c r="AB2984" s="2" t="s">
        <v>76</v>
      </c>
      <c r="AC2984" s="2" t="s">
        <v>77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582</v>
      </c>
      <c r="E2985" s="2" t="s">
        <v>108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3227</v>
      </c>
      <c r="AA2985" s="2" t="s">
        <v>75</v>
      </c>
      <c r="AB2985" s="2" t="s">
        <v>76</v>
      </c>
      <c r="AC2985" s="2" t="s">
        <v>77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3227</v>
      </c>
      <c r="AA2986" s="2" t="s">
        <v>87</v>
      </c>
      <c r="AB2986" s="2" t="s">
        <v>90</v>
      </c>
      <c r="AC2986" s="2" t="s">
        <v>84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hidden="1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3227</v>
      </c>
      <c r="AA2987" s="2" t="s">
        <v>87</v>
      </c>
      <c r="AB2987" s="2" t="s">
        <v>90</v>
      </c>
      <c r="AC2987" s="2" t="s">
        <v>84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3227</v>
      </c>
      <c r="AA2988" s="2" t="s">
        <v>1041</v>
      </c>
      <c r="AB2988" s="2" t="s">
        <v>1270</v>
      </c>
      <c r="AC2988" s="2" t="s">
        <v>1038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3227</v>
      </c>
      <c r="AA2989" s="2" t="s">
        <v>1041</v>
      </c>
      <c r="AB2989" s="2" t="s">
        <v>1318</v>
      </c>
      <c r="AC2989" s="2" t="s">
        <v>1038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119</v>
      </c>
      <c r="AA2991" s="2" t="s">
        <v>492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hidden="1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117</v>
      </c>
      <c r="AA2992" s="2" t="s">
        <v>317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hidden="1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117</v>
      </c>
      <c r="AA2993" s="2" t="s">
        <v>317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hidden="1" x14ac:dyDescent="0.2">
      <c r="A2994" s="2">
        <v>2026</v>
      </c>
      <c r="B2994" s="2">
        <v>1</v>
      </c>
      <c r="C2994" s="2" t="s">
        <v>3452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117</v>
      </c>
      <c r="AA2994" s="2" t="s">
        <v>317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hidden="1" x14ac:dyDescent="0.2">
      <c r="A2995" s="2">
        <v>2026</v>
      </c>
      <c r="B2995" s="2">
        <v>4</v>
      </c>
      <c r="C2995" s="2" t="s">
        <v>3444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C2996" s="2" t="s">
        <v>3444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hidden="1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hidden="1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hidden="1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hidden="1" x14ac:dyDescent="0.2">
      <c r="A3001" s="2">
        <v>2026</v>
      </c>
      <c r="B3001" s="2">
        <v>2</v>
      </c>
      <c r="D3001" s="2" t="s">
        <v>2442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2442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hidden="1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hidden="1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hidden="1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hidden="1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hidden="1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hidden="1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hidden="1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hidden="1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hidden="1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hidden="1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hidden="1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hidden="1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hidden="1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hidden="1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hidden="1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hidden="1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hidden="1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hidden="1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hidden="1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hidden="1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hidden="1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hidden="1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hidden="1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2"/>
        <v>0.25</v>
      </c>
      <c r="Z3029" s="2" t="s">
        <v>169</v>
      </c>
      <c r="AA3029" s="2" t="s">
        <v>169</v>
      </c>
      <c r="AF3029" s="2">
        <f t="shared" si="420"/>
        <v>0</v>
      </c>
      <c r="AJ3029" s="2">
        <f t="shared" si="421"/>
        <v>0</v>
      </c>
      <c r="AK3029" s="2">
        <f t="shared" si="417"/>
        <v>2</v>
      </c>
      <c r="AL3029" s="5">
        <f t="shared" si="418"/>
        <v>0.25</v>
      </c>
    </row>
    <row r="3030" spans="1:38" hidden="1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2"/>
        <v>-0.2</v>
      </c>
      <c r="Z3030" s="2" t="s">
        <v>169</v>
      </c>
      <c r="AA3030" s="2" t="s">
        <v>169</v>
      </c>
      <c r="AF3030" s="2">
        <f t="shared" si="420"/>
        <v>0</v>
      </c>
      <c r="AJ3030" s="2">
        <f t="shared" si="421"/>
        <v>0</v>
      </c>
      <c r="AK3030" s="2">
        <f t="shared" si="417"/>
        <v>-2</v>
      </c>
      <c r="AL3030" s="5">
        <f t="shared" si="418"/>
        <v>-0.2</v>
      </c>
    </row>
    <row r="3031" spans="1:38" hidden="1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2"/>
        <v>-0.2</v>
      </c>
      <c r="Z3031" s="2" t="s">
        <v>169</v>
      </c>
      <c r="AA3031" s="2" t="s">
        <v>169</v>
      </c>
      <c r="AF3031" s="2">
        <f t="shared" si="420"/>
        <v>0</v>
      </c>
      <c r="AJ3031" s="2">
        <f t="shared" si="421"/>
        <v>0</v>
      </c>
      <c r="AK3031" s="2">
        <f t="shared" si="417"/>
        <v>-1</v>
      </c>
      <c r="AL3031" s="5">
        <f t="shared" si="418"/>
        <v>-0.2</v>
      </c>
    </row>
    <row r="3032" spans="1:38" hidden="1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2"/>
        <v>-0.2</v>
      </c>
      <c r="Z3032" s="2" t="s">
        <v>169</v>
      </c>
      <c r="AA3032" s="2" t="s">
        <v>169</v>
      </c>
      <c r="AF3032" s="2">
        <f t="shared" si="420"/>
        <v>0</v>
      </c>
      <c r="AJ3032" s="2">
        <f t="shared" si="421"/>
        <v>0</v>
      </c>
      <c r="AK3032" s="2">
        <f t="shared" si="417"/>
        <v>-1</v>
      </c>
      <c r="AL3032" s="5">
        <f t="shared" si="418"/>
        <v>-0.2</v>
      </c>
    </row>
    <row r="3033" spans="1:38" hidden="1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2"/>
        <v>-0.33333333333333331</v>
      </c>
      <c r="Z3033" s="2" t="s">
        <v>169</v>
      </c>
      <c r="AA3033" s="2" t="s">
        <v>169</v>
      </c>
      <c r="AF3033" s="2">
        <f t="shared" si="420"/>
        <v>0</v>
      </c>
      <c r="AJ3033" s="2">
        <f t="shared" si="421"/>
        <v>0</v>
      </c>
      <c r="AK3033" s="2">
        <f t="shared" si="417"/>
        <v>-1.5</v>
      </c>
      <c r="AL3033" s="5">
        <f t="shared" si="418"/>
        <v>-0.33333333333333331</v>
      </c>
    </row>
    <row r="3034" spans="1:38" hidden="1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2"/>
        <v>-0.5</v>
      </c>
      <c r="Z3034" s="2" t="s">
        <v>169</v>
      </c>
      <c r="AA3034" s="2" t="s">
        <v>169</v>
      </c>
      <c r="AF3034" s="2">
        <f t="shared" si="420"/>
        <v>0</v>
      </c>
      <c r="AJ3034" s="2">
        <f t="shared" si="421"/>
        <v>0</v>
      </c>
      <c r="AK3034" s="2">
        <f t="shared" si="417"/>
        <v>-50</v>
      </c>
      <c r="AL3034" s="5">
        <f t="shared" si="418"/>
        <v>-0.5</v>
      </c>
    </row>
    <row r="3035" spans="1:38" hidden="1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2"/>
        <v>0.25</v>
      </c>
      <c r="Z3035" s="2" t="s">
        <v>169</v>
      </c>
      <c r="AA3035" s="2" t="s">
        <v>169</v>
      </c>
      <c r="AF3035" s="2">
        <f t="shared" si="420"/>
        <v>0</v>
      </c>
      <c r="AJ3035" s="2">
        <f t="shared" si="421"/>
        <v>0</v>
      </c>
      <c r="AK3035" s="2">
        <f t="shared" si="417"/>
        <v>2</v>
      </c>
      <c r="AL3035" s="5">
        <f t="shared" si="418"/>
        <v>0.25</v>
      </c>
    </row>
    <row r="3036" spans="1:38" hidden="1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0"/>
        <v>0</v>
      </c>
      <c r="AJ3036" s="2">
        <f t="shared" si="421"/>
        <v>0</v>
      </c>
    </row>
    <row r="3037" spans="1:38" hidden="1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117</v>
      </c>
      <c r="AA3037" s="2" t="s">
        <v>1310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117</v>
      </c>
      <c r="AA3038" s="2" t="s">
        <v>1310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hidden="1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117</v>
      </c>
      <c r="AA3039" s="2" t="s">
        <v>1310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hidden="1" x14ac:dyDescent="0.2">
      <c r="A3040" s="2">
        <v>2026</v>
      </c>
      <c r="B3040" s="2">
        <v>1</v>
      </c>
      <c r="D3040" s="2" t="s">
        <v>674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117</v>
      </c>
      <c r="AA3040" s="2" t="s">
        <v>1310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3227</v>
      </c>
      <c r="AA3041" s="2" t="s">
        <v>96</v>
      </c>
      <c r="AB3041" s="2" t="s">
        <v>76</v>
      </c>
      <c r="AC3041" s="2" t="s">
        <v>93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hidden="1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3227</v>
      </c>
      <c r="AA3042" s="2" t="s">
        <v>96</v>
      </c>
      <c r="AB3042" s="2" t="s">
        <v>76</v>
      </c>
      <c r="AC3042" s="2" t="s">
        <v>93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hidden="1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3227</v>
      </c>
      <c r="AA3043" s="2" t="s">
        <v>96</v>
      </c>
      <c r="AB3043" s="2" t="s">
        <v>76</v>
      </c>
      <c r="AC3043" s="2" t="s">
        <v>93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hidden="1" x14ac:dyDescent="0.2">
      <c r="A3044" s="2">
        <v>2026</v>
      </c>
      <c r="B3044" s="2">
        <v>1</v>
      </c>
      <c r="D3044" s="2" t="s">
        <v>198</v>
      </c>
      <c r="E3044" s="2" t="s">
        <v>108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3227</v>
      </c>
      <c r="AA3044" s="2" t="s">
        <v>96</v>
      </c>
      <c r="AB3044" s="2" t="s">
        <v>76</v>
      </c>
      <c r="AC3044" s="2" t="s">
        <v>93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hidden="1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3227</v>
      </c>
      <c r="AA3045" s="2" t="s">
        <v>96</v>
      </c>
      <c r="AB3045" s="2" t="s">
        <v>76</v>
      </c>
      <c r="AC3045" s="2" t="s">
        <v>93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hidden="1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3227</v>
      </c>
      <c r="AA3046" s="2" t="s">
        <v>96</v>
      </c>
      <c r="AB3046" s="2" t="s">
        <v>76</v>
      </c>
      <c r="AC3046" s="2" t="s">
        <v>93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hidden="1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3227</v>
      </c>
      <c r="AA3047" s="2" t="s">
        <v>46</v>
      </c>
      <c r="AB3047" s="2" t="s">
        <v>56</v>
      </c>
      <c r="AC3047" s="2" t="s">
        <v>57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3227</v>
      </c>
      <c r="AA3048" s="2" t="s">
        <v>96</v>
      </c>
      <c r="AB3048" s="2" t="s">
        <v>76</v>
      </c>
      <c r="AC3048" s="2" t="s">
        <v>93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hidden="1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3227</v>
      </c>
      <c r="AA3049" s="2" t="s">
        <v>96</v>
      </c>
      <c r="AB3049" s="2" t="s">
        <v>76</v>
      </c>
      <c r="AC3049" s="2" t="s">
        <v>93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hidden="1" x14ac:dyDescent="0.2">
      <c r="A3050" s="2">
        <v>2026</v>
      </c>
      <c r="B3050" s="2">
        <v>1</v>
      </c>
      <c r="C3050" s="2" t="s">
        <v>3327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3227</v>
      </c>
      <c r="AA3050" s="2" t="s">
        <v>96</v>
      </c>
      <c r="AB3050" s="2" t="s">
        <v>76</v>
      </c>
      <c r="AC3050" s="2" t="s">
        <v>93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hidden="1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3227</v>
      </c>
      <c r="AA3051" s="2" t="s">
        <v>96</v>
      </c>
      <c r="AB3051" s="2" t="s">
        <v>76</v>
      </c>
      <c r="AC3051" s="2" t="s">
        <v>93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hidden="1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3227</v>
      </c>
      <c r="AA3052" s="2" t="s">
        <v>96</v>
      </c>
      <c r="AB3052" s="2" t="s">
        <v>76</v>
      </c>
      <c r="AC3052" s="2" t="s">
        <v>93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hidden="1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3227</v>
      </c>
      <c r="AA3053" s="2" t="s">
        <v>96</v>
      </c>
      <c r="AB3053" s="2" t="s">
        <v>76</v>
      </c>
      <c r="AC3053" s="2" t="s">
        <v>93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hidden="1" x14ac:dyDescent="0.2">
      <c r="A3054" s="2">
        <v>2026</v>
      </c>
      <c r="B3054" s="2">
        <v>1</v>
      </c>
      <c r="C3054" s="2" t="s">
        <v>3327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3227</v>
      </c>
      <c r="AA3054" s="2" t="s">
        <v>96</v>
      </c>
      <c r="AB3054" s="2" t="s">
        <v>76</v>
      </c>
      <c r="AC3054" s="2" t="s">
        <v>93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hidden="1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3227</v>
      </c>
      <c r="AA3055" s="2" t="s">
        <v>96</v>
      </c>
      <c r="AB3055" s="2" t="s">
        <v>76</v>
      </c>
      <c r="AC3055" s="2" t="s">
        <v>93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hidden="1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3227</v>
      </c>
      <c r="AA3056" s="2" t="s">
        <v>96</v>
      </c>
      <c r="AB3056" s="2" t="s">
        <v>76</v>
      </c>
      <c r="AC3056" s="2" t="s">
        <v>93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hidden="1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3227</v>
      </c>
      <c r="AA3057" s="2" t="s">
        <v>96</v>
      </c>
      <c r="AB3057" s="2" t="s">
        <v>76</v>
      </c>
      <c r="AC3057" s="2" t="s">
        <v>93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hidden="1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3227</v>
      </c>
      <c r="AA3058" s="2" t="s">
        <v>96</v>
      </c>
      <c r="AB3058" s="2" t="s">
        <v>76</v>
      </c>
      <c r="AC3058" s="2" t="s">
        <v>93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hidden="1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3227</v>
      </c>
      <c r="AA3059" s="2" t="s">
        <v>96</v>
      </c>
      <c r="AB3059" s="2" t="s">
        <v>76</v>
      </c>
      <c r="AC3059" s="2" t="s">
        <v>93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hidden="1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3227</v>
      </c>
      <c r="AA3060" s="2" t="s">
        <v>96</v>
      </c>
      <c r="AB3060" s="2" t="s">
        <v>76</v>
      </c>
      <c r="AC3060" s="2" t="s">
        <v>93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hidden="1" x14ac:dyDescent="0.2">
      <c r="A3061" s="2">
        <v>2026</v>
      </c>
      <c r="B3061" s="2">
        <v>1</v>
      </c>
      <c r="D3061" s="2" t="s">
        <v>1073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3227</v>
      </c>
      <c r="AA3061" s="2" t="s">
        <v>96</v>
      </c>
      <c r="AB3061" s="2" t="s">
        <v>76</v>
      </c>
      <c r="AC3061" s="2" t="s">
        <v>93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hidden="1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3227</v>
      </c>
      <c r="AA3062" s="2" t="s">
        <v>96</v>
      </c>
      <c r="AB3062" s="2" t="s">
        <v>76</v>
      </c>
      <c r="AC3062" s="2" t="s">
        <v>93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hidden="1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3227</v>
      </c>
      <c r="AA3063" s="2" t="s">
        <v>96</v>
      </c>
      <c r="AB3063" s="2" t="s">
        <v>76</v>
      </c>
      <c r="AC3063" s="2" t="s">
        <v>93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hidden="1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3227</v>
      </c>
      <c r="AA3064" s="2" t="s">
        <v>96</v>
      </c>
      <c r="AB3064" s="2" t="s">
        <v>76</v>
      </c>
      <c r="AC3064" s="2" t="s">
        <v>93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hidden="1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3227</v>
      </c>
      <c r="AA3065" s="2" t="s">
        <v>96</v>
      </c>
      <c r="AB3065" s="2" t="s">
        <v>76</v>
      </c>
      <c r="AC3065" s="2" t="s">
        <v>93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hidden="1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3227</v>
      </c>
      <c r="AA3066" s="2" t="s">
        <v>96</v>
      </c>
      <c r="AB3066" s="2" t="s">
        <v>76</v>
      </c>
      <c r="AC3066" s="2" t="s">
        <v>93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hidden="1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3227</v>
      </c>
      <c r="AA3067" s="2" t="s">
        <v>96</v>
      </c>
      <c r="AB3067" s="2" t="s">
        <v>76</v>
      </c>
      <c r="AC3067" s="2" t="s">
        <v>93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hidden="1" x14ac:dyDescent="0.2">
      <c r="A3068" s="2">
        <v>2026</v>
      </c>
      <c r="B3068" s="2">
        <v>1</v>
      </c>
      <c r="D3068" s="2" t="s">
        <v>582</v>
      </c>
      <c r="E3068" s="2" t="s">
        <v>108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3227</v>
      </c>
      <c r="AA3068" s="2" t="s">
        <v>96</v>
      </c>
      <c r="AB3068" s="2" t="s">
        <v>76</v>
      </c>
      <c r="AC3068" s="2" t="s">
        <v>93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hidden="1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3227</v>
      </c>
      <c r="AA3069" s="2" t="s">
        <v>96</v>
      </c>
      <c r="AB3069" s="2" t="s">
        <v>76</v>
      </c>
      <c r="AC3069" s="2" t="s">
        <v>93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hidden="1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3227</v>
      </c>
      <c r="AA3070" s="2" t="s">
        <v>96</v>
      </c>
      <c r="AB3070" s="2" t="s">
        <v>76</v>
      </c>
      <c r="AC3070" s="2" t="s">
        <v>93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hidden="1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3227</v>
      </c>
      <c r="AA3071" s="2" t="s">
        <v>96</v>
      </c>
      <c r="AB3071" s="2" t="s">
        <v>76</v>
      </c>
      <c r="AC3071" s="2" t="s">
        <v>93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hidden="1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3227</v>
      </c>
      <c r="AA3072" s="2" t="s">
        <v>96</v>
      </c>
      <c r="AB3072" s="2" t="s">
        <v>76</v>
      </c>
      <c r="AC3072" s="2" t="s">
        <v>93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hidden="1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3227</v>
      </c>
      <c r="AA3073" s="2" t="s">
        <v>96</v>
      </c>
      <c r="AB3073" s="2" t="s">
        <v>76</v>
      </c>
      <c r="AC3073" s="2" t="s">
        <v>93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hidden="1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hidden="1" x14ac:dyDescent="0.2">
      <c r="A3075" s="2">
        <v>2026</v>
      </c>
      <c r="B3075" s="2">
        <v>1</v>
      </c>
      <c r="C3075" s="2" t="s">
        <v>3452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hidden="1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119</v>
      </c>
      <c r="AA3076" s="2" t="s">
        <v>3380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hidden="1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117</v>
      </c>
      <c r="AA3077" s="2" t="s">
        <v>118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hidden="1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3227</v>
      </c>
      <c r="AA3078" s="2" t="s">
        <v>119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hidden="1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3123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hidden="1" x14ac:dyDescent="0.2">
      <c r="A3089" s="2">
        <v>2026</v>
      </c>
      <c r="B3089" s="2">
        <v>2</v>
      </c>
      <c r="C3089" s="2" t="s">
        <v>3455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hidden="1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3115</v>
      </c>
      <c r="J3092" s="2" t="s">
        <v>3116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3123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hidden="1" x14ac:dyDescent="0.2">
      <c r="A3096" s="2">
        <v>2026</v>
      </c>
      <c r="B3096" s="2">
        <v>2</v>
      </c>
      <c r="C3096" s="2" t="s">
        <v>3455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hidden="1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hidden="1" x14ac:dyDescent="0.2">
      <c r="A3105" s="2">
        <v>2026</v>
      </c>
      <c r="B3105" s="2">
        <v>2</v>
      </c>
      <c r="C3105" s="2" t="s">
        <v>3321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hidden="1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117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hidden="1" x14ac:dyDescent="0.2">
      <c r="A3107" s="2">
        <v>2026</v>
      </c>
      <c r="B3107" s="2">
        <v>2</v>
      </c>
      <c r="D3107" s="2" t="s">
        <v>2442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117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hidden="1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117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hidden="1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hidden="1" x14ac:dyDescent="0.2">
      <c r="A3110" s="2">
        <v>2026</v>
      </c>
      <c r="B3110" s="2">
        <v>2</v>
      </c>
      <c r="C3110" s="2" t="s">
        <v>3321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hidden="1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117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hidden="1" x14ac:dyDescent="0.2">
      <c r="A3112" s="2">
        <v>2026</v>
      </c>
      <c r="B3112" s="2">
        <v>2</v>
      </c>
      <c r="C3112" s="2" t="s">
        <v>3321</v>
      </c>
      <c r="D3112" s="2" t="s">
        <v>3243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hidden="1" x14ac:dyDescent="0.2">
      <c r="A3113" s="2">
        <v>2026</v>
      </c>
      <c r="B3113" s="2">
        <v>2</v>
      </c>
      <c r="C3113" s="2" t="s">
        <v>3321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hidden="1" x14ac:dyDescent="0.2">
      <c r="A3114" s="2">
        <v>2026</v>
      </c>
      <c r="B3114" s="2">
        <v>1</v>
      </c>
      <c r="C3114" s="2" t="s">
        <v>3327</v>
      </c>
      <c r="D3114" s="2" t="s">
        <v>3242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hidden="1" x14ac:dyDescent="0.2">
      <c r="A3115" s="2">
        <v>2026</v>
      </c>
      <c r="B3115" s="2">
        <v>2</v>
      </c>
      <c r="C3115" s="2" t="s">
        <v>3321</v>
      </c>
      <c r="D3115" s="2" t="s">
        <v>3244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hidden="1" x14ac:dyDescent="0.2">
      <c r="A3116" s="2">
        <v>2026</v>
      </c>
      <c r="B3116" s="2">
        <v>2</v>
      </c>
      <c r="C3116" s="2" t="s">
        <v>3321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3245</v>
      </c>
      <c r="J3116" s="2" t="s">
        <v>3246</v>
      </c>
      <c r="K3116" s="2">
        <v>96179412</v>
      </c>
      <c r="L3116" s="2" t="s">
        <v>461</v>
      </c>
      <c r="M3116" s="2" t="s">
        <v>40</v>
      </c>
      <c r="O3116" s="2" t="s">
        <v>3247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hidden="1" x14ac:dyDescent="0.2">
      <c r="A3118" s="2">
        <v>2026</v>
      </c>
      <c r="B3118" s="2">
        <v>2</v>
      </c>
      <c r="C3118" s="2" t="s">
        <v>3321</v>
      </c>
      <c r="D3118" s="2" t="s">
        <v>3244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hidden="1" x14ac:dyDescent="0.2">
      <c r="A3119" s="2">
        <v>2026</v>
      </c>
      <c r="B3119" s="2">
        <v>2</v>
      </c>
      <c r="C3119" s="2" t="s">
        <v>3321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3123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3412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3227</v>
      </c>
      <c r="AA3123" s="2" t="s">
        <v>155</v>
      </c>
      <c r="AB3123" s="2" t="s">
        <v>154</v>
      </c>
      <c r="AC3123" s="2" t="s">
        <v>152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3412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3227</v>
      </c>
      <c r="AA3124" s="2" t="s">
        <v>155</v>
      </c>
      <c r="AB3124" s="2" t="s">
        <v>154</v>
      </c>
      <c r="AC3124" s="2" t="s">
        <v>152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3227</v>
      </c>
      <c r="AA3129" s="2" t="s">
        <v>46</v>
      </c>
      <c r="AB3129" s="2" t="s">
        <v>60</v>
      </c>
      <c r="AC3129" s="2" t="s">
        <v>3332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3227</v>
      </c>
      <c r="AA3130" s="2" t="s">
        <v>46</v>
      </c>
      <c r="AB3130" s="2" t="s">
        <v>60</v>
      </c>
      <c r="AC3130" s="2" t="s">
        <v>3332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hidden="1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3227</v>
      </c>
      <c r="AA3131" s="2" t="s">
        <v>46</v>
      </c>
      <c r="AB3131" s="2" t="s">
        <v>60</v>
      </c>
      <c r="AC3131" s="2" t="s">
        <v>3332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3227</v>
      </c>
      <c r="AA3132" s="2" t="s">
        <v>46</v>
      </c>
      <c r="AB3132" s="2" t="s">
        <v>60</v>
      </c>
      <c r="AC3132" s="2" t="s">
        <v>3332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3227</v>
      </c>
      <c r="AA3133" s="2" t="s">
        <v>46</v>
      </c>
      <c r="AB3133" s="2" t="s">
        <v>60</v>
      </c>
      <c r="AC3133" s="2" t="s">
        <v>3332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3227</v>
      </c>
      <c r="AA3134" s="2" t="s">
        <v>46</v>
      </c>
      <c r="AB3134" s="2" t="s">
        <v>60</v>
      </c>
      <c r="AC3134" s="2" t="s">
        <v>3332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3227</v>
      </c>
      <c r="AA3135" s="2" t="s">
        <v>46</v>
      </c>
      <c r="AB3135" s="2" t="s">
        <v>47</v>
      </c>
      <c r="AC3135" s="2" t="s">
        <v>57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3227</v>
      </c>
      <c r="AA3136" s="2" t="s">
        <v>46</v>
      </c>
      <c r="AB3136" s="2" t="s">
        <v>47</v>
      </c>
      <c r="AC3136" s="2" t="s">
        <v>57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3227</v>
      </c>
      <c r="AA3137" s="2" t="s">
        <v>46</v>
      </c>
      <c r="AB3137" s="2" t="s">
        <v>47</v>
      </c>
      <c r="AC3137" s="2" t="s">
        <v>57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3217</v>
      </c>
      <c r="J3138" s="2" t="s">
        <v>3216</v>
      </c>
      <c r="K3138" s="2">
        <v>913814877</v>
      </c>
      <c r="L3138" s="2" t="s">
        <v>201</v>
      </c>
      <c r="M3138" s="2" t="s">
        <v>80</v>
      </c>
      <c r="O3138" s="2" t="s">
        <v>3213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3227</v>
      </c>
      <c r="AA3138" s="2" t="s">
        <v>46</v>
      </c>
      <c r="AB3138" s="2" t="s">
        <v>47</v>
      </c>
      <c r="AC3138" s="2" t="s">
        <v>57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3134</v>
      </c>
      <c r="L3139" s="2" t="s">
        <v>177</v>
      </c>
      <c r="M3139" s="2" t="s">
        <v>41</v>
      </c>
      <c r="O3139" s="2" t="s">
        <v>3141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3227</v>
      </c>
      <c r="AA3139" s="2" t="s">
        <v>46</v>
      </c>
      <c r="AB3139" s="2" t="s">
        <v>47</v>
      </c>
      <c r="AC3139" s="2" t="s">
        <v>57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3227</v>
      </c>
      <c r="AA3140" s="2" t="s">
        <v>46</v>
      </c>
      <c r="AB3140" s="2" t="s">
        <v>47</v>
      </c>
      <c r="AC3140" s="2" t="s">
        <v>57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3227</v>
      </c>
      <c r="AA3141" s="2" t="s">
        <v>46</v>
      </c>
      <c r="AB3141" s="2" t="s">
        <v>47</v>
      </c>
      <c r="AC3141" s="2" t="s">
        <v>57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1901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3227</v>
      </c>
      <c r="AA3142" s="2" t="s">
        <v>46</v>
      </c>
      <c r="AB3142" s="2" t="s">
        <v>47</v>
      </c>
      <c r="AC3142" s="2" t="s">
        <v>57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hidden="1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3227</v>
      </c>
      <c r="AA3143" s="2" t="s">
        <v>46</v>
      </c>
      <c r="AB3143" s="2" t="s">
        <v>47</v>
      </c>
      <c r="AC3143" s="2" t="s">
        <v>57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hidden="1" x14ac:dyDescent="0.2">
      <c r="A3144" s="2">
        <v>2026</v>
      </c>
      <c r="B3144" s="2">
        <v>2</v>
      </c>
      <c r="D3144" s="2" t="s">
        <v>1901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3227</v>
      </c>
      <c r="AA3144" s="2" t="s">
        <v>46</v>
      </c>
      <c r="AB3144" s="2" t="s">
        <v>47</v>
      </c>
      <c r="AC3144" s="2" t="s">
        <v>57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hidden="1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3227</v>
      </c>
      <c r="AA3145" s="2" t="s">
        <v>46</v>
      </c>
      <c r="AB3145" s="2" t="s">
        <v>47</v>
      </c>
      <c r="AC3145" s="2" t="s">
        <v>57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hidden="1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3227</v>
      </c>
      <c r="AA3146" s="2" t="s">
        <v>46</v>
      </c>
      <c r="AB3146" s="2" t="s">
        <v>47</v>
      </c>
      <c r="AC3146" s="2" t="s">
        <v>57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3227</v>
      </c>
      <c r="AA3147" s="2" t="s">
        <v>46</v>
      </c>
      <c r="AB3147" s="2" t="s">
        <v>56</v>
      </c>
      <c r="AC3147" s="2" t="s">
        <v>57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hidden="1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3227</v>
      </c>
      <c r="AA3148" s="2" t="s">
        <v>46</v>
      </c>
      <c r="AB3148" s="2" t="s">
        <v>56</v>
      </c>
      <c r="AC3148" s="2" t="s">
        <v>57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3227</v>
      </c>
      <c r="AA3149" s="2" t="s">
        <v>46</v>
      </c>
      <c r="AB3149" s="2" t="s">
        <v>56</v>
      </c>
      <c r="AC3149" s="2" t="s">
        <v>57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hidden="1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3227</v>
      </c>
      <c r="AA3150" s="2" t="s">
        <v>46</v>
      </c>
      <c r="AB3150" s="2" t="s">
        <v>56</v>
      </c>
      <c r="AC3150" s="2" t="s">
        <v>57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3227</v>
      </c>
      <c r="AA3151" s="2" t="s">
        <v>46</v>
      </c>
      <c r="AB3151" s="2" t="s">
        <v>56</v>
      </c>
      <c r="AC3151" s="2" t="s">
        <v>57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hidden="1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3227</v>
      </c>
      <c r="AA3152" s="2" t="s">
        <v>46</v>
      </c>
      <c r="AB3152" s="2" t="s">
        <v>56</v>
      </c>
      <c r="AC3152" s="2" t="s">
        <v>57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hidden="1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3227</v>
      </c>
      <c r="AA3154" s="2" t="s">
        <v>46</v>
      </c>
      <c r="AB3154" s="2" t="s">
        <v>56</v>
      </c>
      <c r="AC3154" s="2" t="s">
        <v>57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hidden="1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3227</v>
      </c>
      <c r="AA3155" s="2" t="s">
        <v>46</v>
      </c>
      <c r="AB3155" s="2" t="s">
        <v>56</v>
      </c>
      <c r="AC3155" s="2" t="s">
        <v>57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3227</v>
      </c>
      <c r="AA3156" s="2" t="s">
        <v>46</v>
      </c>
      <c r="AB3156" s="2" t="s">
        <v>56</v>
      </c>
      <c r="AC3156" s="2" t="s">
        <v>57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hidden="1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3227</v>
      </c>
      <c r="AA3157" s="2" t="s">
        <v>46</v>
      </c>
      <c r="AB3157" s="2" t="s">
        <v>56</v>
      </c>
      <c r="AC3157" s="2" t="s">
        <v>57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hidden="1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3227</v>
      </c>
      <c r="AA3159" s="2" t="s">
        <v>46</v>
      </c>
      <c r="AB3159" s="2" t="s">
        <v>56</v>
      </c>
      <c r="AC3159" s="2" t="s">
        <v>57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hidden="1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3227</v>
      </c>
      <c r="AA3160" s="2" t="s">
        <v>46</v>
      </c>
      <c r="AB3160" s="2" t="s">
        <v>56</v>
      </c>
      <c r="AC3160" s="2" t="s">
        <v>57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3227</v>
      </c>
      <c r="AA3161" s="2" t="s">
        <v>46</v>
      </c>
      <c r="AB3161" s="2" t="s">
        <v>56</v>
      </c>
      <c r="AC3161" s="2" t="s">
        <v>57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3115</v>
      </c>
      <c r="J3162" s="2" t="s">
        <v>3116</v>
      </c>
      <c r="L3162" s="2" t="s">
        <v>112</v>
      </c>
      <c r="M3162" s="2" t="s">
        <v>109</v>
      </c>
      <c r="O3162" s="2" t="s">
        <v>3119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3227</v>
      </c>
      <c r="AA3162" s="2" t="s">
        <v>46</v>
      </c>
      <c r="AB3162" s="2" t="s">
        <v>56</v>
      </c>
      <c r="AC3162" s="2" t="s">
        <v>57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3227</v>
      </c>
      <c r="AA3163" s="2" t="s">
        <v>46</v>
      </c>
      <c r="AB3163" s="2" t="s">
        <v>56</v>
      </c>
      <c r="AC3163" s="2" t="s">
        <v>57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3227</v>
      </c>
      <c r="AA3164" s="2" t="s">
        <v>46</v>
      </c>
      <c r="AB3164" s="2" t="s">
        <v>56</v>
      </c>
      <c r="AC3164" s="2" t="s">
        <v>57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3227</v>
      </c>
      <c r="AA3165" s="2" t="s">
        <v>46</v>
      </c>
      <c r="AB3165" s="2" t="s">
        <v>56</v>
      </c>
      <c r="AC3165" s="2" t="s">
        <v>57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3227</v>
      </c>
      <c r="AA3166" s="2" t="s">
        <v>46</v>
      </c>
      <c r="AB3166" s="2" t="s">
        <v>60</v>
      </c>
      <c r="AC3166" s="2" t="s">
        <v>57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3227</v>
      </c>
      <c r="AA3167" s="2" t="s">
        <v>46</v>
      </c>
      <c r="AB3167" s="2" t="s">
        <v>60</v>
      </c>
      <c r="AC3167" s="2" t="s">
        <v>57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3227</v>
      </c>
      <c r="AA3168" s="2" t="s">
        <v>46</v>
      </c>
      <c r="AB3168" s="2" t="s">
        <v>60</v>
      </c>
      <c r="AC3168" s="2" t="s">
        <v>57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3227</v>
      </c>
      <c r="AA3169" s="2" t="s">
        <v>46</v>
      </c>
      <c r="AB3169" s="2" t="s">
        <v>60</v>
      </c>
      <c r="AC3169" s="2" t="s">
        <v>57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3227</v>
      </c>
      <c r="AA3170" s="2" t="s">
        <v>46</v>
      </c>
      <c r="AB3170" s="2" t="s">
        <v>60</v>
      </c>
      <c r="AC3170" s="2" t="s">
        <v>57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3227</v>
      </c>
      <c r="AA3171" s="2" t="s">
        <v>46</v>
      </c>
      <c r="AB3171" s="2" t="s">
        <v>60</v>
      </c>
      <c r="AC3171" s="2" t="s">
        <v>57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3227</v>
      </c>
      <c r="AA3172" s="2" t="s">
        <v>46</v>
      </c>
      <c r="AB3172" s="2" t="s">
        <v>60</v>
      </c>
      <c r="AC3172" s="2" t="s">
        <v>57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3227</v>
      </c>
      <c r="AA3173" s="2" t="s">
        <v>46</v>
      </c>
      <c r="AB3173" s="2" t="s">
        <v>60</v>
      </c>
      <c r="AC3173" s="2" t="s">
        <v>57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3227</v>
      </c>
      <c r="AA3174" s="2" t="s">
        <v>46</v>
      </c>
      <c r="AB3174" s="2" t="s">
        <v>60</v>
      </c>
      <c r="AC3174" s="2" t="s">
        <v>57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3227</v>
      </c>
      <c r="AA3175" s="2" t="s">
        <v>46</v>
      </c>
      <c r="AB3175" s="2" t="s">
        <v>60</v>
      </c>
      <c r="AC3175" s="2" t="s">
        <v>57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hidden="1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3227</v>
      </c>
      <c r="AA3176" s="2" t="s">
        <v>46</v>
      </c>
      <c r="AB3176" s="2" t="s">
        <v>60</v>
      </c>
      <c r="AC3176" s="2" t="s">
        <v>57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hidden="1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3227</v>
      </c>
      <c r="AA3177" s="2" t="s">
        <v>46</v>
      </c>
      <c r="AB3177" s="2" t="s">
        <v>60</v>
      </c>
      <c r="AC3177" s="2" t="s">
        <v>57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3227</v>
      </c>
      <c r="AA3178" s="2" t="s">
        <v>46</v>
      </c>
      <c r="AB3178" s="2" t="s">
        <v>60</v>
      </c>
      <c r="AC3178" s="2" t="s">
        <v>57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3227</v>
      </c>
      <c r="AA3179" s="2" t="s">
        <v>46</v>
      </c>
      <c r="AB3179" s="2" t="s">
        <v>60</v>
      </c>
      <c r="AC3179" s="2" t="s">
        <v>57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3227</v>
      </c>
      <c r="AA3180" s="2" t="s">
        <v>46</v>
      </c>
      <c r="AB3180" s="2" t="s">
        <v>60</v>
      </c>
      <c r="AC3180" s="2" t="s">
        <v>57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3227</v>
      </c>
      <c r="AA3181" s="2" t="s">
        <v>46</v>
      </c>
      <c r="AB3181" s="2" t="s">
        <v>90</v>
      </c>
      <c r="AC3181" s="2" t="s">
        <v>57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hidden="1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3227</v>
      </c>
      <c r="AA3182" s="2" t="s">
        <v>46</v>
      </c>
      <c r="AB3182" s="2" t="s">
        <v>67</v>
      </c>
      <c r="AC3182" s="2" t="s">
        <v>57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3227</v>
      </c>
      <c r="AA3183" s="2" t="s">
        <v>46</v>
      </c>
      <c r="AB3183" s="2" t="s">
        <v>67</v>
      </c>
      <c r="AC3183" s="2" t="s">
        <v>57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3227</v>
      </c>
      <c r="AA3184" s="2" t="s">
        <v>46</v>
      </c>
      <c r="AB3184" s="2" t="s">
        <v>67</v>
      </c>
      <c r="AC3184" s="2" t="s">
        <v>57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3227</v>
      </c>
      <c r="AA3185" s="2" t="s">
        <v>46</v>
      </c>
      <c r="AB3185" s="2" t="s">
        <v>67</v>
      </c>
      <c r="AC3185" s="2" t="s">
        <v>57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3300</v>
      </c>
      <c r="D3186" s="2" t="s">
        <v>1372</v>
      </c>
      <c r="E3186" s="2" t="s">
        <v>38</v>
      </c>
      <c r="F3186" s="2" t="s">
        <v>39</v>
      </c>
      <c r="I3186" s="2" t="s">
        <v>3299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3227</v>
      </c>
      <c r="AA3186" s="2" t="s">
        <v>46</v>
      </c>
      <c r="AB3186" s="2" t="s">
        <v>67</v>
      </c>
      <c r="AC3186" s="2" t="s">
        <v>57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3227</v>
      </c>
      <c r="AA3187" s="2" t="s">
        <v>46</v>
      </c>
      <c r="AB3187" s="2" t="s">
        <v>67</v>
      </c>
      <c r="AC3187" s="2" t="s">
        <v>57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3227</v>
      </c>
      <c r="AA3188" s="2" t="s">
        <v>46</v>
      </c>
      <c r="AB3188" s="2" t="s">
        <v>67</v>
      </c>
      <c r="AC3188" s="2" t="s">
        <v>57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3227</v>
      </c>
      <c r="AA3190" s="2" t="s">
        <v>46</v>
      </c>
      <c r="AB3190" s="2" t="s">
        <v>56</v>
      </c>
      <c r="AC3190" s="2" t="s">
        <v>57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3227</v>
      </c>
      <c r="AA3191" s="2" t="s">
        <v>71</v>
      </c>
      <c r="AB3191" s="2" t="s">
        <v>68</v>
      </c>
      <c r="AC3191" s="2" t="s">
        <v>3231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3227</v>
      </c>
      <c r="AA3192" s="2" t="s">
        <v>71</v>
      </c>
      <c r="AB3192" s="2" t="s">
        <v>68</v>
      </c>
      <c r="AC3192" s="2" t="s">
        <v>3231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3227</v>
      </c>
      <c r="AA3193" s="2" t="s">
        <v>71</v>
      </c>
      <c r="AB3193" s="2" t="s">
        <v>68</v>
      </c>
      <c r="AC3193" s="2" t="s">
        <v>3231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3227</v>
      </c>
      <c r="AA3194" s="2" t="s">
        <v>71</v>
      </c>
      <c r="AB3194" s="2" t="s">
        <v>68</v>
      </c>
      <c r="AC3194" s="2" t="s">
        <v>3231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3231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3231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3231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3227</v>
      </c>
      <c r="AA3198" s="2" t="s">
        <v>75</v>
      </c>
      <c r="AB3198" s="2" t="s">
        <v>76</v>
      </c>
      <c r="AC3198" s="2" t="s">
        <v>77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3227</v>
      </c>
      <c r="AA3199" s="2" t="s">
        <v>75</v>
      </c>
      <c r="AB3199" s="2" t="s">
        <v>76</v>
      </c>
      <c r="AC3199" s="2" t="s">
        <v>77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3227</v>
      </c>
      <c r="AA3200" s="2" t="s">
        <v>75</v>
      </c>
      <c r="AB3200" s="2" t="s">
        <v>76</v>
      </c>
      <c r="AC3200" s="2" t="s">
        <v>77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3227</v>
      </c>
      <c r="AA3201" s="2" t="s">
        <v>75</v>
      </c>
      <c r="AB3201" s="2" t="s">
        <v>76</v>
      </c>
      <c r="AC3201" s="2" t="s">
        <v>77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3227</v>
      </c>
      <c r="AA3202" s="2" t="s">
        <v>75</v>
      </c>
      <c r="AB3202" s="2" t="s">
        <v>76</v>
      </c>
      <c r="AC3202" s="2" t="s">
        <v>77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3227</v>
      </c>
      <c r="AA3203" s="2" t="s">
        <v>75</v>
      </c>
      <c r="AB3203" s="2" t="s">
        <v>76</v>
      </c>
      <c r="AC3203" s="2" t="s">
        <v>77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3227</v>
      </c>
      <c r="AA3204" s="2" t="s">
        <v>75</v>
      </c>
      <c r="AB3204" s="2" t="s">
        <v>76</v>
      </c>
      <c r="AC3204" s="2" t="s">
        <v>77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3227</v>
      </c>
      <c r="AA3205" s="2" t="s">
        <v>75</v>
      </c>
      <c r="AB3205" s="2" t="s">
        <v>76</v>
      </c>
      <c r="AC3205" s="2" t="s">
        <v>77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3227</v>
      </c>
      <c r="AA3206" s="2" t="s">
        <v>75</v>
      </c>
      <c r="AB3206" s="2" t="s">
        <v>76</v>
      </c>
      <c r="AC3206" s="2" t="s">
        <v>77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3227</v>
      </c>
      <c r="AA3207" s="2" t="s">
        <v>75</v>
      </c>
      <c r="AB3207" s="2" t="s">
        <v>76</v>
      </c>
      <c r="AC3207" s="2" t="s">
        <v>77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3227</v>
      </c>
      <c r="AA3208" s="2" t="s">
        <v>75</v>
      </c>
      <c r="AB3208" s="2" t="s">
        <v>76</v>
      </c>
      <c r="AC3208" s="2" t="s">
        <v>77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3227</v>
      </c>
      <c r="AA3209" s="2" t="s">
        <v>75</v>
      </c>
      <c r="AB3209" s="2" t="s">
        <v>76</v>
      </c>
      <c r="AC3209" s="2" t="s">
        <v>77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3227</v>
      </c>
      <c r="AA3210" s="2" t="s">
        <v>75</v>
      </c>
      <c r="AB3210" s="2" t="s">
        <v>76</v>
      </c>
      <c r="AC3210" s="2" t="s">
        <v>77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3227</v>
      </c>
      <c r="AA3211" s="2" t="s">
        <v>75</v>
      </c>
      <c r="AB3211" s="2" t="s">
        <v>76</v>
      </c>
      <c r="AC3211" s="2" t="s">
        <v>77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3227</v>
      </c>
      <c r="AA3212" s="2" t="s">
        <v>75</v>
      </c>
      <c r="AB3212" s="2" t="s">
        <v>76</v>
      </c>
      <c r="AC3212" s="2" t="s">
        <v>77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3227</v>
      </c>
      <c r="AA3213" s="2" t="s">
        <v>75</v>
      </c>
      <c r="AB3213" s="2" t="s">
        <v>76</v>
      </c>
      <c r="AC3213" s="2" t="s">
        <v>77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3227</v>
      </c>
      <c r="AA3214" s="2" t="s">
        <v>75</v>
      </c>
      <c r="AB3214" s="2" t="s">
        <v>76</v>
      </c>
      <c r="AC3214" s="2" t="s">
        <v>77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hidden="1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3227</v>
      </c>
      <c r="AA3216" s="2" t="s">
        <v>75</v>
      </c>
      <c r="AB3216" s="2" t="s">
        <v>76</v>
      </c>
      <c r="AC3216" s="2" t="s">
        <v>77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3227</v>
      </c>
      <c r="AA3217" s="2" t="s">
        <v>75</v>
      </c>
      <c r="AB3217" s="2" t="s">
        <v>76</v>
      </c>
      <c r="AC3217" s="2" t="s">
        <v>77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3227</v>
      </c>
      <c r="AA3218" s="2" t="s">
        <v>75</v>
      </c>
      <c r="AB3218" s="2" t="s">
        <v>76</v>
      </c>
      <c r="AC3218" s="2" t="s">
        <v>77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3227</v>
      </c>
      <c r="AA3219" s="2" t="s">
        <v>75</v>
      </c>
      <c r="AB3219" s="2" t="s">
        <v>76</v>
      </c>
      <c r="AC3219" s="2" t="s">
        <v>77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3227</v>
      </c>
      <c r="AA3220" s="2" t="s">
        <v>75</v>
      </c>
      <c r="AB3220" s="2" t="s">
        <v>76</v>
      </c>
      <c r="AC3220" s="2" t="s">
        <v>77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hidden="1" x14ac:dyDescent="0.2">
      <c r="A3221" s="2">
        <v>2026</v>
      </c>
      <c r="B3221" s="2">
        <v>2</v>
      </c>
      <c r="C3221" s="2" t="s">
        <v>3300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3227</v>
      </c>
      <c r="AA3221" s="2" t="s">
        <v>75</v>
      </c>
      <c r="AB3221" s="2" t="s">
        <v>76</v>
      </c>
      <c r="AC3221" s="2" t="s">
        <v>77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hidden="1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3227</v>
      </c>
      <c r="AA3222" s="2" t="s">
        <v>75</v>
      </c>
      <c r="AB3222" s="2" t="s">
        <v>76</v>
      </c>
      <c r="AC3222" s="2" t="s">
        <v>1038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3227</v>
      </c>
      <c r="AA3223" s="2" t="s">
        <v>75</v>
      </c>
      <c r="AB3223" s="2" t="s">
        <v>76</v>
      </c>
      <c r="AC3223" s="2" t="s">
        <v>1038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3321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3227</v>
      </c>
      <c r="AA3224" s="2" t="s">
        <v>75</v>
      </c>
      <c r="AB3224" s="2" t="s">
        <v>76</v>
      </c>
      <c r="AC3224" s="2" t="s">
        <v>1038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3227</v>
      </c>
      <c r="AA3225" s="2" t="s">
        <v>87</v>
      </c>
      <c r="AB3225" s="2" t="s">
        <v>90</v>
      </c>
      <c r="AC3225" s="2" t="s">
        <v>84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3227</v>
      </c>
      <c r="AA3226" s="2" t="s">
        <v>87</v>
      </c>
      <c r="AB3226" s="2" t="s">
        <v>90</v>
      </c>
      <c r="AC3226" s="2" t="s">
        <v>84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3227</v>
      </c>
      <c r="AA3227" s="2" t="s">
        <v>87</v>
      </c>
      <c r="AB3227" s="2" t="s">
        <v>60</v>
      </c>
      <c r="AC3227" s="2" t="s">
        <v>84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hidden="1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hidden="1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3395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3395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3395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3395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3227</v>
      </c>
      <c r="AA3231" s="2" t="s">
        <v>1041</v>
      </c>
      <c r="AB3231" s="2" t="s">
        <v>1270</v>
      </c>
      <c r="AC3231" s="2" t="s">
        <v>1038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3227</v>
      </c>
      <c r="AA3232" s="2" t="s">
        <v>1041</v>
      </c>
      <c r="AB3232" s="2" t="s">
        <v>1270</v>
      </c>
      <c r="AC3232" s="2" t="s">
        <v>1038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3227</v>
      </c>
      <c r="AA3233" s="2" t="s">
        <v>1041</v>
      </c>
      <c r="AB3233" s="2" t="s">
        <v>2168</v>
      </c>
      <c r="AC3233" s="2" t="s">
        <v>1038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119</v>
      </c>
      <c r="AA3234" s="2" t="s">
        <v>492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hidden="1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117</v>
      </c>
      <c r="AA3235" s="2" t="s">
        <v>317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hidden="1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hidden="1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hidden="1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hidden="1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hidden="1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hidden="1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hidden="1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hidden="1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hidden="1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hidden="1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hidden="1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hidden="1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hidden="1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hidden="1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hidden="1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hidden="1" x14ac:dyDescent="0.2">
      <c r="A3253" s="2">
        <v>2026</v>
      </c>
      <c r="B3253" s="2">
        <v>4</v>
      </c>
      <c r="C3253" s="2" t="s">
        <v>3451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hidden="1" x14ac:dyDescent="0.2">
      <c r="A3254" s="2">
        <v>2026</v>
      </c>
      <c r="B3254" s="2">
        <v>4</v>
      </c>
      <c r="C3254" s="2" t="s">
        <v>3451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hidden="1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hidden="1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hidden="1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hidden="1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hidden="1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hidden="1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hidden="1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hidden="1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hidden="1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hidden="1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hidden="1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3321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169</v>
      </c>
      <c r="AA3268" s="2" t="s">
        <v>169</v>
      </c>
      <c r="AF3268" s="2">
        <f t="shared" si="463"/>
        <v>0</v>
      </c>
      <c r="AJ3268" s="2">
        <f t="shared" si="464"/>
        <v>0</v>
      </c>
    </row>
    <row r="3269" spans="1:38" hidden="1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169</v>
      </c>
      <c r="AA3269" s="2" t="s">
        <v>169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hidden="1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2"/>
        <v>0.1</v>
      </c>
      <c r="Z3270" s="2" t="s">
        <v>169</v>
      </c>
      <c r="AA3270" s="2" t="s">
        <v>169</v>
      </c>
      <c r="AF3270" s="2">
        <f t="shared" si="463"/>
        <v>0</v>
      </c>
      <c r="AJ3270" s="2">
        <f t="shared" si="464"/>
        <v>0</v>
      </c>
      <c r="AK3270" s="2">
        <f t="shared" si="465"/>
        <v>10</v>
      </c>
      <c r="AL3270" s="5">
        <f t="shared" si="466"/>
        <v>0.1</v>
      </c>
    </row>
    <row r="3271" spans="1:38" hidden="1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2"/>
        <v>0.25</v>
      </c>
      <c r="Z3271" s="2" t="s">
        <v>169</v>
      </c>
      <c r="AA3271" s="2" t="s">
        <v>169</v>
      </c>
      <c r="AF3271" s="2">
        <f t="shared" si="463"/>
        <v>0</v>
      </c>
      <c r="AJ3271" s="2">
        <f t="shared" si="464"/>
        <v>0</v>
      </c>
      <c r="AK3271" s="2">
        <f t="shared" si="465"/>
        <v>2</v>
      </c>
      <c r="AL3271" s="5">
        <f t="shared" si="466"/>
        <v>0.25</v>
      </c>
    </row>
    <row r="3272" spans="1:38" hidden="1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2"/>
        <v>0.25</v>
      </c>
      <c r="Z3272" s="2" t="s">
        <v>169</v>
      </c>
      <c r="AA3272" s="2" t="s">
        <v>169</v>
      </c>
      <c r="AF3272" s="2">
        <f t="shared" si="463"/>
        <v>0</v>
      </c>
      <c r="AJ3272" s="2">
        <f t="shared" si="464"/>
        <v>0</v>
      </c>
      <c r="AK3272" s="2">
        <f t="shared" si="465"/>
        <v>2</v>
      </c>
      <c r="AL3272" s="5">
        <f t="shared" si="466"/>
        <v>0.25</v>
      </c>
    </row>
    <row r="3273" spans="1:38" hidden="1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3217</v>
      </c>
      <c r="J3273" s="2" t="s">
        <v>3216</v>
      </c>
      <c r="K3273" s="2">
        <v>913814877</v>
      </c>
      <c r="L3273" s="2" t="s">
        <v>201</v>
      </c>
      <c r="M3273" s="2" t="s">
        <v>80</v>
      </c>
      <c r="O3273" s="2" t="s">
        <v>3213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2"/>
        <v>0.25</v>
      </c>
      <c r="Z3273" s="2" t="s">
        <v>169</v>
      </c>
      <c r="AA3273" s="2" t="s">
        <v>169</v>
      </c>
      <c r="AF3273" s="2">
        <f t="shared" si="463"/>
        <v>0</v>
      </c>
      <c r="AJ3273" s="2">
        <f t="shared" si="464"/>
        <v>0</v>
      </c>
      <c r="AK3273" s="2">
        <f t="shared" si="465"/>
        <v>2</v>
      </c>
      <c r="AL3273" s="5">
        <f t="shared" si="466"/>
        <v>0.25</v>
      </c>
    </row>
    <row r="3274" spans="1:38" hidden="1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2"/>
        <v>-0.2</v>
      </c>
      <c r="Z3274" s="2" t="s">
        <v>169</v>
      </c>
      <c r="AA3274" s="2" t="s">
        <v>169</v>
      </c>
      <c r="AF3274" s="2">
        <f t="shared" si="463"/>
        <v>0</v>
      </c>
      <c r="AJ3274" s="2">
        <f t="shared" si="464"/>
        <v>0</v>
      </c>
      <c r="AK3274" s="2">
        <f t="shared" si="465"/>
        <v>-1</v>
      </c>
      <c r="AL3274" s="5">
        <f t="shared" si="466"/>
        <v>-0.2</v>
      </c>
    </row>
    <row r="3275" spans="1:38" hidden="1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2"/>
        <v>-0.2</v>
      </c>
      <c r="Z3275" s="2" t="s">
        <v>169</v>
      </c>
      <c r="AA3275" s="2" t="s">
        <v>169</v>
      </c>
      <c r="AF3275" s="2">
        <f t="shared" si="463"/>
        <v>0</v>
      </c>
      <c r="AJ3275" s="2">
        <f t="shared" si="464"/>
        <v>0</v>
      </c>
      <c r="AK3275" s="2">
        <f t="shared" si="465"/>
        <v>-1</v>
      </c>
      <c r="AL3275" s="5">
        <f t="shared" si="466"/>
        <v>-0.2</v>
      </c>
    </row>
    <row r="3276" spans="1:38" hidden="1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3"/>
        <v>0</v>
      </c>
      <c r="AJ3276" s="2">
        <f t="shared" si="464"/>
        <v>0</v>
      </c>
    </row>
    <row r="3277" spans="1:38" hidden="1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117</v>
      </c>
      <c r="AA3277" s="2" t="s">
        <v>1310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3227</v>
      </c>
      <c r="AA3278" s="2" t="s">
        <v>96</v>
      </c>
      <c r="AB3278" s="2" t="s">
        <v>76</v>
      </c>
      <c r="AC3278" s="2" t="s">
        <v>93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3227</v>
      </c>
      <c r="AA3279" s="2" t="s">
        <v>96</v>
      </c>
      <c r="AB3279" s="2" t="s">
        <v>76</v>
      </c>
      <c r="AC3279" s="2" t="s">
        <v>93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hidden="1" x14ac:dyDescent="0.2">
      <c r="A3280" s="2">
        <v>2026</v>
      </c>
      <c r="B3280" s="2">
        <v>2</v>
      </c>
      <c r="C3280" s="2" t="s">
        <v>3321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3227</v>
      </c>
      <c r="AA3280" s="2" t="s">
        <v>96</v>
      </c>
      <c r="AB3280" s="2" t="s">
        <v>76</v>
      </c>
      <c r="AC3280" s="2" t="s">
        <v>93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hidden="1" x14ac:dyDescent="0.2">
      <c r="A3281" s="2">
        <v>2026</v>
      </c>
      <c r="B3281" s="2">
        <v>2</v>
      </c>
      <c r="C3281" s="2" t="s">
        <v>3300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3227</v>
      </c>
      <c r="AA3281" s="2" t="s">
        <v>96</v>
      </c>
      <c r="AB3281" s="2" t="s">
        <v>76</v>
      </c>
      <c r="AC3281" s="2" t="s">
        <v>93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hidden="1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3227</v>
      </c>
      <c r="AA3282" s="2" t="s">
        <v>46</v>
      </c>
      <c r="AB3282" s="2" t="s">
        <v>47</v>
      </c>
      <c r="AC3282" s="2" t="s">
        <v>57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3227</v>
      </c>
      <c r="AA3283" s="2" t="s">
        <v>96</v>
      </c>
      <c r="AB3283" s="2" t="s">
        <v>76</v>
      </c>
      <c r="AC3283" s="2" t="s">
        <v>93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hidden="1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3227</v>
      </c>
      <c r="AA3284" s="2" t="s">
        <v>96</v>
      </c>
      <c r="AB3284" s="2" t="s">
        <v>76</v>
      </c>
      <c r="AC3284" s="2" t="s">
        <v>93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hidden="1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3227</v>
      </c>
      <c r="AA3285" s="2" t="s">
        <v>96</v>
      </c>
      <c r="AB3285" s="2" t="s">
        <v>76</v>
      </c>
      <c r="AC3285" s="2" t="s">
        <v>93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hidden="1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3227</v>
      </c>
      <c r="AA3286" s="2" t="s">
        <v>96</v>
      </c>
      <c r="AB3286" s="2" t="s">
        <v>76</v>
      </c>
      <c r="AC3286" s="2" t="s">
        <v>93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hidden="1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3227</v>
      </c>
      <c r="AA3287" s="2" t="s">
        <v>96</v>
      </c>
      <c r="AB3287" s="2" t="s">
        <v>76</v>
      </c>
      <c r="AC3287" s="2" t="s">
        <v>93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hidden="1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3227</v>
      </c>
      <c r="AA3288" s="2" t="s">
        <v>96</v>
      </c>
      <c r="AB3288" s="2" t="s">
        <v>76</v>
      </c>
      <c r="AC3288" s="2" t="s">
        <v>93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hidden="1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3227</v>
      </c>
      <c r="AA3289" s="2" t="s">
        <v>96</v>
      </c>
      <c r="AB3289" s="2" t="s">
        <v>76</v>
      </c>
      <c r="AC3289" s="2" t="s">
        <v>93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hidden="1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3227</v>
      </c>
      <c r="AA3290" s="2" t="s">
        <v>96</v>
      </c>
      <c r="AB3290" s="2" t="s">
        <v>76</v>
      </c>
      <c r="AC3290" s="2" t="s">
        <v>93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hidden="1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3227</v>
      </c>
      <c r="AA3291" s="2" t="s">
        <v>96</v>
      </c>
      <c r="AB3291" s="2" t="s">
        <v>76</v>
      </c>
      <c r="AC3291" s="2" t="s">
        <v>93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hidden="1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3227</v>
      </c>
      <c r="AA3292" s="2" t="s">
        <v>96</v>
      </c>
      <c r="AB3292" s="2" t="s">
        <v>76</v>
      </c>
      <c r="AC3292" s="2" t="s">
        <v>93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hidden="1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3227</v>
      </c>
      <c r="AA3293" s="2" t="s">
        <v>96</v>
      </c>
      <c r="AB3293" s="2" t="s">
        <v>76</v>
      </c>
      <c r="AC3293" s="2" t="s">
        <v>93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hidden="1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3227</v>
      </c>
      <c r="AA3294" s="2" t="s">
        <v>96</v>
      </c>
      <c r="AB3294" s="2" t="s">
        <v>76</v>
      </c>
      <c r="AC3294" s="2" t="s">
        <v>93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hidden="1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3227</v>
      </c>
      <c r="AA3295" s="2" t="s">
        <v>96</v>
      </c>
      <c r="AB3295" s="2" t="s">
        <v>76</v>
      </c>
      <c r="AC3295" s="2" t="s">
        <v>93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hidden="1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3227</v>
      </c>
      <c r="AA3296" s="2" t="s">
        <v>96</v>
      </c>
      <c r="AB3296" s="2" t="s">
        <v>76</v>
      </c>
      <c r="AC3296" s="2" t="s">
        <v>93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hidden="1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3227</v>
      </c>
      <c r="AA3297" s="2" t="s">
        <v>96</v>
      </c>
      <c r="AB3297" s="2" t="s">
        <v>76</v>
      </c>
      <c r="AC3297" s="2" t="s">
        <v>93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hidden="1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117</v>
      </c>
      <c r="AA3298" s="2" t="s">
        <v>317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hidden="1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119</v>
      </c>
      <c r="AA3299" s="2" t="s">
        <v>3380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hidden="1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117</v>
      </c>
      <c r="AA3300" s="2" t="s">
        <v>118</v>
      </c>
      <c r="AB3300" s="2" t="s">
        <v>119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hidden="1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2049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3320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3227</v>
      </c>
      <c r="AA3308" s="2" t="s">
        <v>46</v>
      </c>
      <c r="AB3308" s="2" t="s">
        <v>47</v>
      </c>
      <c r="AC3308" s="2" t="s">
        <v>57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hidden="1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117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hidden="1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117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hidden="1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hidden="1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117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hidden="1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117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hidden="1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117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hidden="1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117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hidden="1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C3318" s="2" t="s">
        <v>3421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hidden="1" x14ac:dyDescent="0.2">
      <c r="A3319" s="2">
        <v>2026</v>
      </c>
      <c r="B3319" s="2">
        <v>3</v>
      </c>
      <c r="C3319" s="2" t="s">
        <v>3421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3227</v>
      </c>
      <c r="AA3320" s="2" t="s">
        <v>71</v>
      </c>
      <c r="AB3320" s="2" t="s">
        <v>119</v>
      </c>
      <c r="AC3320" s="2" t="s">
        <v>2636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3227</v>
      </c>
      <c r="AA3321" s="2" t="s">
        <v>71</v>
      </c>
      <c r="AB3321" s="2" t="s">
        <v>119</v>
      </c>
      <c r="AC3321" s="2" t="s">
        <v>119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hidden="1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3258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3257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hidden="1" x14ac:dyDescent="0.2">
      <c r="A3326" s="2">
        <v>2026</v>
      </c>
      <c r="B3326" s="2">
        <v>3</v>
      </c>
      <c r="D3326" s="2" t="s">
        <v>3258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3257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3258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3257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hidden="1" x14ac:dyDescent="0.2">
      <c r="A3328" s="2">
        <v>2026</v>
      </c>
      <c r="B3328" s="2">
        <v>3</v>
      </c>
      <c r="C3328" s="2" t="s">
        <v>3421</v>
      </c>
      <c r="D3328" s="2" t="s">
        <v>3418</v>
      </c>
      <c r="E3328" s="2" t="s">
        <v>3419</v>
      </c>
      <c r="F3328" s="2" t="s">
        <v>3420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hidden="1" x14ac:dyDescent="0.2">
      <c r="A3329" s="2">
        <v>2026</v>
      </c>
      <c r="B3329" s="2">
        <v>3</v>
      </c>
      <c r="C3329" s="2" t="s">
        <v>3421</v>
      </c>
      <c r="D3329" s="2" t="s">
        <v>3418</v>
      </c>
      <c r="E3329" s="2" t="s">
        <v>3419</v>
      </c>
      <c r="F3329" s="2" t="s">
        <v>3420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3381</v>
      </c>
      <c r="AC3329" s="2" t="s">
        <v>1327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C3330" s="2" t="s">
        <v>3421</v>
      </c>
      <c r="D3330" s="2" t="s">
        <v>3418</v>
      </c>
      <c r="E3330" s="2" t="s">
        <v>3419</v>
      </c>
      <c r="F3330" s="2" t="s">
        <v>3420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hidden="1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hidden="1" x14ac:dyDescent="0.2">
      <c r="A3337" s="2">
        <v>2026</v>
      </c>
      <c r="B3337" s="2">
        <v>3</v>
      </c>
      <c r="C3337" s="2" t="s">
        <v>3421</v>
      </c>
      <c r="D3337" s="2" t="s">
        <v>3418</v>
      </c>
      <c r="E3337" s="2" t="s">
        <v>3419</v>
      </c>
      <c r="F3337" s="2" t="s">
        <v>3420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hidden="1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hidden="1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hidden="1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hidden="1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hidden="1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3227</v>
      </c>
      <c r="AA3344" s="2" t="s">
        <v>71</v>
      </c>
      <c r="AB3344" s="2" t="s">
        <v>119</v>
      </c>
      <c r="AC3344" s="2" t="s">
        <v>119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3227</v>
      </c>
      <c r="AA3345" s="2" t="s">
        <v>71</v>
      </c>
      <c r="AB3345" s="2" t="s">
        <v>119</v>
      </c>
      <c r="AC3345" s="2" t="s">
        <v>119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3227</v>
      </c>
      <c r="AA3346" s="2" t="s">
        <v>71</v>
      </c>
      <c r="AB3346" s="2" t="s">
        <v>119</v>
      </c>
      <c r="AC3346" s="2" t="s">
        <v>119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hidden="1" x14ac:dyDescent="0.2">
      <c r="A3348" s="2">
        <v>2026</v>
      </c>
      <c r="B3348" s="2">
        <v>3</v>
      </c>
      <c r="D3348" s="2" t="s">
        <v>3258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3257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3227</v>
      </c>
      <c r="AA3349" s="2" t="s">
        <v>46</v>
      </c>
      <c r="AB3349" s="2" t="s">
        <v>60</v>
      </c>
      <c r="AC3349" s="2" t="s">
        <v>3332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3227</v>
      </c>
      <c r="AA3350" s="2" t="s">
        <v>46</v>
      </c>
      <c r="AB3350" s="2" t="s">
        <v>60</v>
      </c>
      <c r="AC3350" s="2" t="s">
        <v>3332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3227</v>
      </c>
      <c r="AA3351" s="2" t="s">
        <v>46</v>
      </c>
      <c r="AB3351" s="2" t="s">
        <v>60</v>
      </c>
      <c r="AC3351" s="2" t="s">
        <v>3332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3227</v>
      </c>
      <c r="AA3352" s="2" t="s">
        <v>46</v>
      </c>
      <c r="AB3352" s="2" t="s">
        <v>60</v>
      </c>
      <c r="AC3352" s="2" t="s">
        <v>3332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3227</v>
      </c>
      <c r="AA3353" s="2" t="s">
        <v>46</v>
      </c>
      <c r="AB3353" s="2" t="s">
        <v>60</v>
      </c>
      <c r="AC3353" s="2" t="s">
        <v>3332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3227</v>
      </c>
      <c r="AA3354" s="2" t="s">
        <v>46</v>
      </c>
      <c r="AB3354" s="2" t="s">
        <v>60</v>
      </c>
      <c r="AC3354" s="2" t="s">
        <v>3332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3227</v>
      </c>
      <c r="AA3355" s="2" t="s">
        <v>46</v>
      </c>
      <c r="AB3355" s="2" t="s">
        <v>60</v>
      </c>
      <c r="AC3355" s="2" t="s">
        <v>3332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3227</v>
      </c>
      <c r="AA3356" s="2" t="s">
        <v>46</v>
      </c>
      <c r="AB3356" s="2" t="s">
        <v>60</v>
      </c>
      <c r="AC3356" s="2" t="s">
        <v>3332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3227</v>
      </c>
      <c r="AA3357" s="2" t="s">
        <v>46</v>
      </c>
      <c r="AB3357" s="2" t="s">
        <v>47</v>
      </c>
      <c r="AC3357" s="2" t="s">
        <v>57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3227</v>
      </c>
      <c r="AA3358" s="2" t="s">
        <v>46</v>
      </c>
      <c r="AB3358" s="2" t="s">
        <v>47</v>
      </c>
      <c r="AC3358" s="2" t="s">
        <v>57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3227</v>
      </c>
      <c r="AA3359" s="2" t="s">
        <v>46</v>
      </c>
      <c r="AB3359" s="2" t="s">
        <v>47</v>
      </c>
      <c r="AC3359" s="2" t="s">
        <v>57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3227</v>
      </c>
      <c r="AA3360" s="2" t="s">
        <v>46</v>
      </c>
      <c r="AB3360" s="2" t="s">
        <v>47</v>
      </c>
      <c r="AC3360" s="2" t="s">
        <v>57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3227</v>
      </c>
      <c r="AA3361" s="2" t="s">
        <v>46</v>
      </c>
      <c r="AB3361" s="2" t="s">
        <v>47</v>
      </c>
      <c r="AC3361" s="2" t="s">
        <v>57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3227</v>
      </c>
      <c r="AA3362" s="2" t="s">
        <v>46</v>
      </c>
      <c r="AB3362" s="2" t="s">
        <v>47</v>
      </c>
      <c r="AC3362" s="2" t="s">
        <v>57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3227</v>
      </c>
      <c r="AA3363" s="2" t="s">
        <v>46</v>
      </c>
      <c r="AB3363" s="2" t="s">
        <v>47</v>
      </c>
      <c r="AC3363" s="2" t="s">
        <v>57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3227</v>
      </c>
      <c r="AA3364" s="2" t="s">
        <v>46</v>
      </c>
      <c r="AB3364" s="2" t="s">
        <v>47</v>
      </c>
      <c r="AC3364" s="2" t="s">
        <v>57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hidden="1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3227</v>
      </c>
      <c r="AA3365" s="2" t="s">
        <v>46</v>
      </c>
      <c r="AB3365" s="2" t="s">
        <v>47</v>
      </c>
      <c r="AC3365" s="2" t="s">
        <v>57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3227</v>
      </c>
      <c r="AA3366" s="2" t="s">
        <v>46</v>
      </c>
      <c r="AB3366" s="2" t="s">
        <v>47</v>
      </c>
      <c r="AC3366" s="2" t="s">
        <v>57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hidden="1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3227</v>
      </c>
      <c r="AA3367" s="2" t="s">
        <v>46</v>
      </c>
      <c r="AB3367" s="2" t="s">
        <v>47</v>
      </c>
      <c r="AC3367" s="2" t="s">
        <v>57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3227</v>
      </c>
      <c r="AA3368" s="2" t="s">
        <v>46</v>
      </c>
      <c r="AB3368" s="2" t="s">
        <v>47</v>
      </c>
      <c r="AC3368" s="2" t="s">
        <v>57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3227</v>
      </c>
      <c r="AA3369" s="2" t="s">
        <v>46</v>
      </c>
      <c r="AB3369" s="2" t="s">
        <v>47</v>
      </c>
      <c r="AC3369" s="2" t="s">
        <v>57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3176</v>
      </c>
      <c r="K3370" s="2">
        <v>911577458</v>
      </c>
      <c r="L3370" s="2" t="s">
        <v>177</v>
      </c>
      <c r="M3370" s="2" t="s">
        <v>41</v>
      </c>
      <c r="O3370" s="2" t="s">
        <v>3180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3227</v>
      </c>
      <c r="AA3370" s="2" t="s">
        <v>46</v>
      </c>
      <c r="AB3370" s="2" t="s">
        <v>47</v>
      </c>
      <c r="AC3370" s="2" t="s">
        <v>57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3227</v>
      </c>
      <c r="AA3371" s="2" t="s">
        <v>46</v>
      </c>
      <c r="AB3371" s="2" t="s">
        <v>47</v>
      </c>
      <c r="AC3371" s="2" t="s">
        <v>57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3227</v>
      </c>
      <c r="AA3372" s="2" t="s">
        <v>46</v>
      </c>
      <c r="AB3372" s="2" t="s">
        <v>47</v>
      </c>
      <c r="AC3372" s="2" t="s">
        <v>57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3227</v>
      </c>
      <c r="AA3373" s="2" t="s">
        <v>46</v>
      </c>
      <c r="AB3373" s="2" t="s">
        <v>47</v>
      </c>
      <c r="AC3373" s="2" t="s">
        <v>57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3227</v>
      </c>
      <c r="AA3374" s="2" t="s">
        <v>46</v>
      </c>
      <c r="AB3374" s="2" t="s">
        <v>47</v>
      </c>
      <c r="AC3374" s="2" t="s">
        <v>57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3227</v>
      </c>
      <c r="AA3375" s="2" t="s">
        <v>46</v>
      </c>
      <c r="AB3375" s="2" t="s">
        <v>56</v>
      </c>
      <c r="AC3375" s="2" t="s">
        <v>57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hidden="1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3227</v>
      </c>
      <c r="AA3376" s="2" t="s">
        <v>46</v>
      </c>
      <c r="AB3376" s="2" t="s">
        <v>56</v>
      </c>
      <c r="AC3376" s="2" t="s">
        <v>57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hidden="1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3227</v>
      </c>
      <c r="AA3377" s="2" t="s">
        <v>46</v>
      </c>
      <c r="AB3377" s="2" t="s">
        <v>56</v>
      </c>
      <c r="AC3377" s="2" t="s">
        <v>57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hidden="1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3227</v>
      </c>
      <c r="AA3378" s="2" t="s">
        <v>46</v>
      </c>
      <c r="AB3378" s="2" t="s">
        <v>56</v>
      </c>
      <c r="AC3378" s="2" t="s">
        <v>57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hidden="1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3227</v>
      </c>
      <c r="AA3379" s="2" t="s">
        <v>46</v>
      </c>
      <c r="AB3379" s="2" t="s">
        <v>56</v>
      </c>
      <c r="AC3379" s="2" t="s">
        <v>57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hidden="1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3227</v>
      </c>
      <c r="AA3380" s="2" t="s">
        <v>46</v>
      </c>
      <c r="AB3380" s="2" t="s">
        <v>56</v>
      </c>
      <c r="AC3380" s="2" t="s">
        <v>57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hidden="1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3227</v>
      </c>
      <c r="AA3381" s="2" t="s">
        <v>46</v>
      </c>
      <c r="AB3381" s="2" t="s">
        <v>56</v>
      </c>
      <c r="AC3381" s="2" t="s">
        <v>57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3227</v>
      </c>
      <c r="AA3382" s="2" t="s">
        <v>46</v>
      </c>
      <c r="AB3382" s="2" t="s">
        <v>56</v>
      </c>
      <c r="AC3382" s="2" t="s">
        <v>57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3227</v>
      </c>
      <c r="AA3383" s="2" t="s">
        <v>46</v>
      </c>
      <c r="AB3383" s="2" t="s">
        <v>56</v>
      </c>
      <c r="AC3383" s="2" t="s">
        <v>57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3227</v>
      </c>
      <c r="AA3384" s="2" t="s">
        <v>46</v>
      </c>
      <c r="AB3384" s="2" t="s">
        <v>56</v>
      </c>
      <c r="AC3384" s="2" t="s">
        <v>57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3227</v>
      </c>
      <c r="AA3385" s="2" t="s">
        <v>46</v>
      </c>
      <c r="AB3385" s="2" t="s">
        <v>56</v>
      </c>
      <c r="AC3385" s="2" t="s">
        <v>57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hidden="1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3227</v>
      </c>
      <c r="AA3386" s="2" t="s">
        <v>46</v>
      </c>
      <c r="AB3386" s="2" t="s">
        <v>56</v>
      </c>
      <c r="AC3386" s="2" t="s">
        <v>57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hidden="1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3227</v>
      </c>
      <c r="AA3387" s="2" t="s">
        <v>46</v>
      </c>
      <c r="AB3387" s="2" t="s">
        <v>56</v>
      </c>
      <c r="AC3387" s="2" t="s">
        <v>57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hidden="1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3227</v>
      </c>
      <c r="AA3388" s="2" t="s">
        <v>46</v>
      </c>
      <c r="AB3388" s="2" t="s">
        <v>56</v>
      </c>
      <c r="AC3388" s="2" t="s">
        <v>57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hidden="1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3227</v>
      </c>
      <c r="AA3389" s="2" t="s">
        <v>46</v>
      </c>
      <c r="AB3389" s="2" t="s">
        <v>56</v>
      </c>
      <c r="AC3389" s="2" t="s">
        <v>57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hidden="1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3227</v>
      </c>
      <c r="AA3390" s="2" t="s">
        <v>46</v>
      </c>
      <c r="AB3390" s="2" t="s">
        <v>56</v>
      </c>
      <c r="AC3390" s="2" t="s">
        <v>57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hidden="1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3227</v>
      </c>
      <c r="AA3391" s="2" t="s">
        <v>46</v>
      </c>
      <c r="AB3391" s="2" t="s">
        <v>56</v>
      </c>
      <c r="AC3391" s="2" t="s">
        <v>57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hidden="1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3227</v>
      </c>
      <c r="AA3392" s="2" t="s">
        <v>46</v>
      </c>
      <c r="AB3392" s="2" t="s">
        <v>56</v>
      </c>
      <c r="AC3392" s="2" t="s">
        <v>57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hidden="1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3227</v>
      </c>
      <c r="AA3393" s="2" t="s">
        <v>46</v>
      </c>
      <c r="AB3393" s="2" t="s">
        <v>56</v>
      </c>
      <c r="AC3393" s="2" t="s">
        <v>57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hidden="1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3227</v>
      </c>
      <c r="AA3394" s="2" t="s">
        <v>46</v>
      </c>
      <c r="AB3394" s="2" t="s">
        <v>56</v>
      </c>
      <c r="AC3394" s="2" t="s">
        <v>57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hidden="1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3227</v>
      </c>
      <c r="AA3395" s="2" t="s">
        <v>46</v>
      </c>
      <c r="AB3395" s="2" t="s">
        <v>56</v>
      </c>
      <c r="AC3395" s="2" t="s">
        <v>57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hidden="1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3227</v>
      </c>
      <c r="AA3396" s="2" t="s">
        <v>46</v>
      </c>
      <c r="AB3396" s="2" t="s">
        <v>56</v>
      </c>
      <c r="AC3396" s="2" t="s">
        <v>57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hidden="1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3227</v>
      </c>
      <c r="AA3397" s="2" t="s">
        <v>46</v>
      </c>
      <c r="AB3397" s="2" t="s">
        <v>56</v>
      </c>
      <c r="AC3397" s="2" t="s">
        <v>57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hidden="1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3227</v>
      </c>
      <c r="AA3398" s="2" t="s">
        <v>46</v>
      </c>
      <c r="AB3398" s="2" t="s">
        <v>56</v>
      </c>
      <c r="AC3398" s="2" t="s">
        <v>57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3227</v>
      </c>
      <c r="AA3399" s="2" t="s">
        <v>46</v>
      </c>
      <c r="AB3399" s="2" t="s">
        <v>56</v>
      </c>
      <c r="AC3399" s="2" t="s">
        <v>57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3227</v>
      </c>
      <c r="AA3400" s="2" t="s">
        <v>46</v>
      </c>
      <c r="AB3400" s="2" t="s">
        <v>56</v>
      </c>
      <c r="AC3400" s="2" t="s">
        <v>57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3227</v>
      </c>
      <c r="AA3401" s="2" t="s">
        <v>46</v>
      </c>
      <c r="AB3401" s="2" t="s">
        <v>56</v>
      </c>
      <c r="AC3401" s="2" t="s">
        <v>57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3227</v>
      </c>
      <c r="AA3402" s="2" t="s">
        <v>46</v>
      </c>
      <c r="AB3402" s="2" t="s">
        <v>56</v>
      </c>
      <c r="AC3402" s="2" t="s">
        <v>57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3227</v>
      </c>
      <c r="AA3403" s="2" t="s">
        <v>46</v>
      </c>
      <c r="AB3403" s="2" t="s">
        <v>56</v>
      </c>
      <c r="AC3403" s="2" t="s">
        <v>57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3227</v>
      </c>
      <c r="AA3404" s="2" t="s">
        <v>46</v>
      </c>
      <c r="AB3404" s="2" t="s">
        <v>56</v>
      </c>
      <c r="AC3404" s="2" t="s">
        <v>57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3227</v>
      </c>
      <c r="AA3405" s="2" t="s">
        <v>46</v>
      </c>
      <c r="AB3405" s="2" t="s">
        <v>47</v>
      </c>
      <c r="AC3405" s="2" t="s">
        <v>57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hidden="1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3217</v>
      </c>
      <c r="J3406" s="2" t="s">
        <v>3216</v>
      </c>
      <c r="K3406" s="2">
        <v>913814877</v>
      </c>
      <c r="L3406" s="2" t="s">
        <v>201</v>
      </c>
      <c r="M3406" s="2" t="s">
        <v>80</v>
      </c>
      <c r="O3406" s="2" t="s">
        <v>3214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3227</v>
      </c>
      <c r="AA3406" s="2" t="s">
        <v>46</v>
      </c>
      <c r="AB3406" s="2" t="s">
        <v>56</v>
      </c>
      <c r="AC3406" s="2" t="s">
        <v>57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3227</v>
      </c>
      <c r="AA3407" s="2" t="s">
        <v>46</v>
      </c>
      <c r="AB3407" s="2" t="s">
        <v>56</v>
      </c>
      <c r="AC3407" s="2" t="s">
        <v>57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3227</v>
      </c>
      <c r="AA3408" s="2" t="s">
        <v>46</v>
      </c>
      <c r="AB3408" s="2" t="s">
        <v>56</v>
      </c>
      <c r="AC3408" s="2" t="s">
        <v>57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3227</v>
      </c>
      <c r="AA3409" s="2" t="s">
        <v>46</v>
      </c>
      <c r="AB3409" s="2" t="s">
        <v>56</v>
      </c>
      <c r="AC3409" s="2" t="s">
        <v>57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3227</v>
      </c>
      <c r="AA3410" s="2" t="s">
        <v>46</v>
      </c>
      <c r="AB3410" s="2" t="s">
        <v>56</v>
      </c>
      <c r="AC3410" s="2" t="s">
        <v>57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3227</v>
      </c>
      <c r="AA3411" s="2" t="s">
        <v>46</v>
      </c>
      <c r="AB3411" s="2" t="s">
        <v>56</v>
      </c>
      <c r="AC3411" s="2" t="s">
        <v>57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3227</v>
      </c>
      <c r="AA3412" s="2" t="s">
        <v>46</v>
      </c>
      <c r="AB3412" s="2" t="s">
        <v>56</v>
      </c>
      <c r="AC3412" s="2" t="s">
        <v>57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3227</v>
      </c>
      <c r="AA3413" s="2" t="s">
        <v>46</v>
      </c>
      <c r="AB3413" s="2" t="s">
        <v>56</v>
      </c>
      <c r="AC3413" s="2" t="s">
        <v>57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3227</v>
      </c>
      <c r="AA3414" s="2" t="s">
        <v>46</v>
      </c>
      <c r="AB3414" s="2" t="s">
        <v>56</v>
      </c>
      <c r="AC3414" s="2" t="s">
        <v>57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3227</v>
      </c>
      <c r="AA3415" s="2" t="s">
        <v>46</v>
      </c>
      <c r="AB3415" s="2" t="s">
        <v>60</v>
      </c>
      <c r="AC3415" s="2" t="s">
        <v>57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3227</v>
      </c>
      <c r="AA3416" s="2" t="s">
        <v>46</v>
      </c>
      <c r="AB3416" s="2" t="s">
        <v>60</v>
      </c>
      <c r="AC3416" s="2" t="s">
        <v>57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3227</v>
      </c>
      <c r="AA3417" s="2" t="s">
        <v>46</v>
      </c>
      <c r="AB3417" s="2" t="s">
        <v>60</v>
      </c>
      <c r="AC3417" s="2" t="s">
        <v>57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3227</v>
      </c>
      <c r="AA3418" s="2" t="s">
        <v>46</v>
      </c>
      <c r="AB3418" s="2" t="s">
        <v>60</v>
      </c>
      <c r="AC3418" s="2" t="s">
        <v>57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3227</v>
      </c>
      <c r="AA3419" s="2" t="s">
        <v>46</v>
      </c>
      <c r="AB3419" s="2" t="s">
        <v>60</v>
      </c>
      <c r="AC3419" s="2" t="s">
        <v>57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3227</v>
      </c>
      <c r="AA3420" s="2" t="s">
        <v>46</v>
      </c>
      <c r="AB3420" s="2" t="s">
        <v>60</v>
      </c>
      <c r="AC3420" s="2" t="s">
        <v>57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3227</v>
      </c>
      <c r="AA3421" s="2" t="s">
        <v>46</v>
      </c>
      <c r="AB3421" s="2" t="s">
        <v>60</v>
      </c>
      <c r="AC3421" s="2" t="s">
        <v>57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3227</v>
      </c>
      <c r="AA3422" s="2" t="s">
        <v>46</v>
      </c>
      <c r="AB3422" s="2" t="s">
        <v>56</v>
      </c>
      <c r="AC3422" s="2" t="s">
        <v>57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3227</v>
      </c>
      <c r="AA3423" s="2" t="s">
        <v>46</v>
      </c>
      <c r="AB3423" s="2" t="s">
        <v>60</v>
      </c>
      <c r="AC3423" s="2" t="s">
        <v>57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3227</v>
      </c>
      <c r="AA3424" s="2" t="s">
        <v>46</v>
      </c>
      <c r="AB3424" s="2" t="s">
        <v>60</v>
      </c>
      <c r="AC3424" s="2" t="s">
        <v>57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3227</v>
      </c>
      <c r="AA3425" s="2" t="s">
        <v>46</v>
      </c>
      <c r="AB3425" s="2" t="s">
        <v>60</v>
      </c>
      <c r="AC3425" s="2" t="s">
        <v>57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3227</v>
      </c>
      <c r="AA3426" s="2" t="s">
        <v>46</v>
      </c>
      <c r="AB3426" s="2" t="s">
        <v>60</v>
      </c>
      <c r="AC3426" s="2" t="s">
        <v>57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3227</v>
      </c>
      <c r="AA3427" s="2" t="s">
        <v>46</v>
      </c>
      <c r="AB3427" s="2" t="s">
        <v>60</v>
      </c>
      <c r="AC3427" s="2" t="s">
        <v>57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3227</v>
      </c>
      <c r="AA3428" s="2" t="s">
        <v>46</v>
      </c>
      <c r="AB3428" s="2" t="s">
        <v>60</v>
      </c>
      <c r="AC3428" s="2" t="s">
        <v>57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hidden="1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3227</v>
      </c>
      <c r="AA3429" s="2" t="s">
        <v>46</v>
      </c>
      <c r="AB3429" s="2" t="s">
        <v>60</v>
      </c>
      <c r="AC3429" s="2" t="s">
        <v>57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hidden="1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3227</v>
      </c>
      <c r="AA3430" s="2" t="s">
        <v>46</v>
      </c>
      <c r="AB3430" s="2" t="s">
        <v>60</v>
      </c>
      <c r="AC3430" s="2" t="s">
        <v>57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hidden="1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3227</v>
      </c>
      <c r="AA3431" s="2" t="s">
        <v>46</v>
      </c>
      <c r="AB3431" s="2" t="s">
        <v>90</v>
      </c>
      <c r="AC3431" s="2" t="s">
        <v>57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hidden="1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3134</v>
      </c>
      <c r="L3432" s="2" t="s">
        <v>177</v>
      </c>
      <c r="M3432" s="2" t="s">
        <v>41</v>
      </c>
      <c r="O3432" s="2" t="s">
        <v>3142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3227</v>
      </c>
      <c r="AA3432" s="2" t="s">
        <v>46</v>
      </c>
      <c r="AB3432" s="2" t="s">
        <v>47</v>
      </c>
      <c r="AC3432" s="2" t="s">
        <v>57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hidden="1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3227</v>
      </c>
      <c r="AA3433" s="2" t="s">
        <v>46</v>
      </c>
      <c r="AB3433" s="2" t="s">
        <v>60</v>
      </c>
      <c r="AC3433" s="2" t="s">
        <v>57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3227</v>
      </c>
      <c r="AA3434" s="2" t="s">
        <v>46</v>
      </c>
      <c r="AB3434" s="2" t="s">
        <v>60</v>
      </c>
      <c r="AC3434" s="2" t="s">
        <v>57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3227</v>
      </c>
      <c r="AA3435" s="2" t="s">
        <v>46</v>
      </c>
      <c r="AB3435" s="2" t="s">
        <v>60</v>
      </c>
      <c r="AC3435" s="2" t="s">
        <v>57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3227</v>
      </c>
      <c r="AA3436" s="2" t="s">
        <v>46</v>
      </c>
      <c r="AB3436" s="2" t="s">
        <v>60</v>
      </c>
      <c r="AC3436" s="2" t="s">
        <v>57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3227</v>
      </c>
      <c r="AA3437" s="2" t="s">
        <v>46</v>
      </c>
      <c r="AB3437" s="2" t="s">
        <v>60</v>
      </c>
      <c r="AC3437" s="2" t="s">
        <v>57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hidden="1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3227</v>
      </c>
      <c r="AA3438" s="2" t="s">
        <v>46</v>
      </c>
      <c r="AB3438" s="2" t="s">
        <v>60</v>
      </c>
      <c r="AC3438" s="2" t="s">
        <v>57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hidden="1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3227</v>
      </c>
      <c r="AA3439" s="2" t="s">
        <v>46</v>
      </c>
      <c r="AB3439" s="2" t="s">
        <v>67</v>
      </c>
      <c r="AC3439" s="2" t="s">
        <v>57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3227</v>
      </c>
      <c r="AA3440" s="2" t="s">
        <v>46</v>
      </c>
      <c r="AB3440" s="2" t="s">
        <v>67</v>
      </c>
      <c r="AC3440" s="2" t="s">
        <v>57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3227</v>
      </c>
      <c r="AA3441" s="2" t="s">
        <v>46</v>
      </c>
      <c r="AB3441" s="2" t="s">
        <v>67</v>
      </c>
      <c r="AC3441" s="2" t="s">
        <v>57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3227</v>
      </c>
      <c r="AA3442" s="2" t="s">
        <v>46</v>
      </c>
      <c r="AB3442" s="2" t="s">
        <v>67</v>
      </c>
      <c r="AC3442" s="2" t="s">
        <v>57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hidden="1" x14ac:dyDescent="0.2">
      <c r="A3443" s="2">
        <v>2026</v>
      </c>
      <c r="B3443" s="2">
        <v>3</v>
      </c>
      <c r="C3443" s="2" t="s">
        <v>3444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3227</v>
      </c>
      <c r="AA3443" s="2" t="s">
        <v>46</v>
      </c>
      <c r="AB3443" s="2" t="s">
        <v>67</v>
      </c>
      <c r="AC3443" s="2" t="s">
        <v>57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3227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hidden="1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3230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3230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1884</v>
      </c>
      <c r="P3446" s="2" t="s">
        <v>3230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3230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3230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3230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3230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3230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278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3227</v>
      </c>
      <c r="AC3449" s="2" t="s">
        <v>3231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hidden="1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3227</v>
      </c>
      <c r="AC3450" s="2" t="s">
        <v>3231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hidden="1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3227</v>
      </c>
      <c r="AC3451" s="2" t="s">
        <v>3231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hidden="1" x14ac:dyDescent="0.2">
      <c r="A3452" s="2">
        <v>2026</v>
      </c>
      <c r="B3452" s="2">
        <v>3</v>
      </c>
      <c r="C3452" s="2" t="s">
        <v>3320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3227</v>
      </c>
      <c r="AA3452" s="2" t="s">
        <v>71</v>
      </c>
      <c r="AB3452" s="2" t="s">
        <v>68</v>
      </c>
      <c r="AC3452" s="2" t="s">
        <v>3231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3231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3227</v>
      </c>
      <c r="AA3454" s="2" t="s">
        <v>75</v>
      </c>
      <c r="AB3454" s="2" t="s">
        <v>76</v>
      </c>
      <c r="AC3454" s="2" t="s">
        <v>77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3227</v>
      </c>
      <c r="AA3455" s="2" t="s">
        <v>75</v>
      </c>
      <c r="AB3455" s="2" t="s">
        <v>76</v>
      </c>
      <c r="AC3455" s="2" t="s">
        <v>77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3227</v>
      </c>
      <c r="AA3456" s="2" t="s">
        <v>75</v>
      </c>
      <c r="AB3456" s="2" t="s">
        <v>76</v>
      </c>
      <c r="AC3456" s="2" t="s">
        <v>77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3227</v>
      </c>
      <c r="AA3457" s="2" t="s">
        <v>75</v>
      </c>
      <c r="AB3457" s="2" t="s">
        <v>76</v>
      </c>
      <c r="AC3457" s="2" t="s">
        <v>77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3227</v>
      </c>
      <c r="AA3458" s="2" t="s">
        <v>75</v>
      </c>
      <c r="AB3458" s="2" t="s">
        <v>76</v>
      </c>
      <c r="AC3458" s="2" t="s">
        <v>77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3320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3227</v>
      </c>
      <c r="AA3459" s="2" t="s">
        <v>75</v>
      </c>
      <c r="AB3459" s="2" t="s">
        <v>76</v>
      </c>
      <c r="AC3459" s="2" t="s">
        <v>77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C3460" s="2" t="s">
        <v>3421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3227</v>
      </c>
      <c r="AA3460" s="2" t="s">
        <v>75</v>
      </c>
      <c r="AB3460" s="2" t="s">
        <v>76</v>
      </c>
      <c r="AC3460" s="2" t="s">
        <v>77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3227</v>
      </c>
      <c r="AA3461" s="2" t="s">
        <v>75</v>
      </c>
      <c r="AB3461" s="2" t="s">
        <v>76</v>
      </c>
      <c r="AC3461" s="2" t="s">
        <v>77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3227</v>
      </c>
      <c r="AA3462" s="2" t="s">
        <v>75</v>
      </c>
      <c r="AB3462" s="2" t="s">
        <v>76</v>
      </c>
      <c r="AC3462" s="2" t="s">
        <v>77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3227</v>
      </c>
      <c r="AA3463" s="2" t="s">
        <v>75</v>
      </c>
      <c r="AB3463" s="2" t="s">
        <v>76</v>
      </c>
      <c r="AC3463" s="2" t="s">
        <v>77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3227</v>
      </c>
      <c r="AA3464" s="2" t="s">
        <v>75</v>
      </c>
      <c r="AB3464" s="2" t="s">
        <v>76</v>
      </c>
      <c r="AC3464" s="2" t="s">
        <v>77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3227</v>
      </c>
      <c r="AA3465" s="2" t="s">
        <v>75</v>
      </c>
      <c r="AB3465" s="2" t="s">
        <v>76</v>
      </c>
      <c r="AC3465" s="2" t="s">
        <v>77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3227</v>
      </c>
      <c r="AA3466" s="2" t="s">
        <v>75</v>
      </c>
      <c r="AB3466" s="2" t="s">
        <v>76</v>
      </c>
      <c r="AC3466" s="2" t="s">
        <v>77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3227</v>
      </c>
      <c r="AA3467" s="2" t="s">
        <v>75</v>
      </c>
      <c r="AB3467" s="2" t="s">
        <v>76</v>
      </c>
      <c r="AC3467" s="2" t="s">
        <v>77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3227</v>
      </c>
      <c r="AA3468" s="2" t="s">
        <v>75</v>
      </c>
      <c r="AB3468" s="2" t="s">
        <v>76</v>
      </c>
      <c r="AC3468" s="2" t="s">
        <v>77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3227</v>
      </c>
      <c r="AA3469" s="2" t="s">
        <v>75</v>
      </c>
      <c r="AB3469" s="2" t="s">
        <v>76</v>
      </c>
      <c r="AC3469" s="2" t="s">
        <v>77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3227</v>
      </c>
      <c r="AA3470" s="2" t="s">
        <v>75</v>
      </c>
      <c r="AB3470" s="2" t="s">
        <v>76</v>
      </c>
      <c r="AC3470" s="2" t="s">
        <v>77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3227</v>
      </c>
      <c r="AA3471" s="2" t="s">
        <v>75</v>
      </c>
      <c r="AB3471" s="2" t="s">
        <v>76</v>
      </c>
      <c r="AC3471" s="2" t="s">
        <v>77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3227</v>
      </c>
      <c r="AA3472" s="2" t="s">
        <v>75</v>
      </c>
      <c r="AB3472" s="2" t="s">
        <v>76</v>
      </c>
      <c r="AC3472" s="2" t="s">
        <v>77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3227</v>
      </c>
      <c r="AA3473" s="2" t="s">
        <v>75</v>
      </c>
      <c r="AB3473" s="2" t="s">
        <v>76</v>
      </c>
      <c r="AC3473" s="2" t="s">
        <v>77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3227</v>
      </c>
      <c r="AA3474" s="2" t="s">
        <v>75</v>
      </c>
      <c r="AB3474" s="2" t="s">
        <v>76</v>
      </c>
      <c r="AC3474" s="2" t="s">
        <v>77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3227</v>
      </c>
      <c r="AA3475" s="2" t="s">
        <v>75</v>
      </c>
      <c r="AB3475" s="2" t="s">
        <v>76</v>
      </c>
      <c r="AC3475" s="2" t="s">
        <v>77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3227</v>
      </c>
      <c r="AA3476" s="2" t="s">
        <v>75</v>
      </c>
      <c r="AB3476" s="2" t="s">
        <v>76</v>
      </c>
      <c r="AC3476" s="2" t="s">
        <v>77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3227</v>
      </c>
      <c r="AA3477" s="2" t="s">
        <v>75</v>
      </c>
      <c r="AB3477" s="2" t="s">
        <v>76</v>
      </c>
      <c r="AC3477" s="2" t="s">
        <v>77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3227</v>
      </c>
      <c r="AA3478" s="2" t="s">
        <v>75</v>
      </c>
      <c r="AB3478" s="2" t="s">
        <v>76</v>
      </c>
      <c r="AC3478" s="2" t="s">
        <v>77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3227</v>
      </c>
      <c r="AA3479" s="2" t="s">
        <v>75</v>
      </c>
      <c r="AB3479" s="2" t="s">
        <v>76</v>
      </c>
      <c r="AC3479" s="2" t="s">
        <v>77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3227</v>
      </c>
      <c r="AA3480" s="2" t="s">
        <v>75</v>
      </c>
      <c r="AB3480" s="2" t="s">
        <v>76</v>
      </c>
      <c r="AC3480" s="2" t="s">
        <v>77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3227</v>
      </c>
      <c r="AA3481" s="2" t="s">
        <v>75</v>
      </c>
      <c r="AB3481" s="2" t="s">
        <v>76</v>
      </c>
      <c r="AC3481" s="2" t="s">
        <v>77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3134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3227</v>
      </c>
      <c r="AA3482" s="2" t="s">
        <v>75</v>
      </c>
      <c r="AB3482" s="2" t="s">
        <v>76</v>
      </c>
      <c r="AC3482" s="2" t="s">
        <v>77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3227</v>
      </c>
      <c r="AA3483" s="2" t="s">
        <v>75</v>
      </c>
      <c r="AB3483" s="2" t="s">
        <v>76</v>
      </c>
      <c r="AC3483" s="2" t="s">
        <v>77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3227</v>
      </c>
      <c r="AA3484" s="2" t="s">
        <v>75</v>
      </c>
      <c r="AB3484" s="2" t="s">
        <v>76</v>
      </c>
      <c r="AC3484" s="2" t="s">
        <v>77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3227</v>
      </c>
      <c r="AA3485" s="2" t="s">
        <v>75</v>
      </c>
      <c r="AB3485" s="2" t="s">
        <v>76</v>
      </c>
      <c r="AC3485" s="2" t="s">
        <v>77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582</v>
      </c>
      <c r="E3486" s="2" t="s">
        <v>108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3227</v>
      </c>
      <c r="AA3486" s="2" t="s">
        <v>75</v>
      </c>
      <c r="AB3486" s="2" t="s">
        <v>76</v>
      </c>
      <c r="AC3486" s="2" t="s">
        <v>77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3227</v>
      </c>
      <c r="AA3487" s="2" t="s">
        <v>75</v>
      </c>
      <c r="AB3487" s="2" t="s">
        <v>76</v>
      </c>
      <c r="AC3487" s="2" t="s">
        <v>77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2143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3227</v>
      </c>
      <c r="AA3488" s="2" t="s">
        <v>75</v>
      </c>
      <c r="AB3488" s="2" t="s">
        <v>76</v>
      </c>
      <c r="AC3488" s="2" t="s">
        <v>77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3227</v>
      </c>
      <c r="AA3489" s="2" t="s">
        <v>75</v>
      </c>
      <c r="AB3489" s="2" t="s">
        <v>76</v>
      </c>
      <c r="AC3489" s="2" t="s">
        <v>1038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3155</v>
      </c>
      <c r="L3490" s="2" t="s">
        <v>99</v>
      </c>
      <c r="M3490" s="2" t="s">
        <v>80</v>
      </c>
      <c r="O3490" s="2" t="s">
        <v>3154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3227</v>
      </c>
      <c r="AA3490" s="2" t="s">
        <v>75</v>
      </c>
      <c r="AB3490" s="2" t="s">
        <v>76</v>
      </c>
      <c r="AC3490" s="2" t="s">
        <v>1038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3227</v>
      </c>
      <c r="AA3491" s="2" t="s">
        <v>75</v>
      </c>
      <c r="AB3491" s="2" t="s">
        <v>76</v>
      </c>
      <c r="AC3491" s="2" t="s">
        <v>1038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3227</v>
      </c>
      <c r="AA3492" s="2" t="s">
        <v>75</v>
      </c>
      <c r="AB3492" s="2" t="s">
        <v>76</v>
      </c>
      <c r="AC3492" s="2" t="s">
        <v>1038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3161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3227</v>
      </c>
      <c r="AA3493" s="2" t="s">
        <v>75</v>
      </c>
      <c r="AB3493" s="2" t="s">
        <v>76</v>
      </c>
      <c r="AC3493" s="2" t="s">
        <v>1038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3227</v>
      </c>
      <c r="AA3494" s="2" t="s">
        <v>87</v>
      </c>
      <c r="AB3494" s="2" t="s">
        <v>90</v>
      </c>
      <c r="AC3494" s="2" t="s">
        <v>84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3227</v>
      </c>
      <c r="AA3495" s="2" t="s">
        <v>87</v>
      </c>
      <c r="AB3495" s="2" t="s">
        <v>60</v>
      </c>
      <c r="AC3495" s="2" t="s">
        <v>84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hidden="1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3227</v>
      </c>
      <c r="AA3496" s="2" t="s">
        <v>87</v>
      </c>
      <c r="AB3496" s="2" t="s">
        <v>90</v>
      </c>
      <c r="AC3496" s="2" t="s">
        <v>84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6"/>
        <v>0.4107142857142857</v>
      </c>
      <c r="Z3497" s="2" t="s">
        <v>3227</v>
      </c>
      <c r="AA3497" s="2" t="s">
        <v>87</v>
      </c>
      <c r="AB3497" s="2" t="s">
        <v>90</v>
      </c>
      <c r="AC3497" s="2" t="s">
        <v>84</v>
      </c>
      <c r="AF3497" s="2">
        <f t="shared" si="501"/>
        <v>0</v>
      </c>
      <c r="AJ3497" s="2">
        <f t="shared" si="502"/>
        <v>0</v>
      </c>
      <c r="AK3497" s="2">
        <f t="shared" si="507"/>
        <v>3.45</v>
      </c>
      <c r="AL3497" s="5">
        <f t="shared" si="508"/>
        <v>0.4107142857142857</v>
      </c>
    </row>
    <row r="3498" spans="1:38" hidden="1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3227</v>
      </c>
      <c r="AA3498" s="2" t="s">
        <v>87</v>
      </c>
      <c r="AB3498" s="2" t="s">
        <v>90</v>
      </c>
      <c r="AC3498" s="2" t="s">
        <v>84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hidden="1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3227</v>
      </c>
      <c r="AA3499" s="2" t="s">
        <v>87</v>
      </c>
      <c r="AC3499" s="2" t="s">
        <v>84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3227</v>
      </c>
      <c r="AA3502" s="2" t="s">
        <v>1041</v>
      </c>
      <c r="AB3502" s="2" t="s">
        <v>2751</v>
      </c>
      <c r="AC3502" s="2" t="s">
        <v>1038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hidden="1" x14ac:dyDescent="0.2">
      <c r="A3503" s="2">
        <v>2026</v>
      </c>
      <c r="B3503" s="2">
        <v>3</v>
      </c>
      <c r="C3503" s="2" t="s">
        <v>3444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hidden="1" x14ac:dyDescent="0.2">
      <c r="A3504" s="2">
        <v>2026</v>
      </c>
      <c r="B3504" s="2">
        <v>3</v>
      </c>
      <c r="C3504" s="2" t="s">
        <v>3444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hidden="1" x14ac:dyDescent="0.2">
      <c r="A3505" s="2">
        <v>2026</v>
      </c>
      <c r="B3505" s="2">
        <v>3</v>
      </c>
      <c r="C3505" s="2" t="s">
        <v>3444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hidden="1" x14ac:dyDescent="0.2">
      <c r="A3506" s="2">
        <v>2026</v>
      </c>
      <c r="B3506" s="2">
        <v>3</v>
      </c>
      <c r="C3506" s="2" t="s">
        <v>3444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hidden="1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hidden="1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119</v>
      </c>
      <c r="AA3508" s="2" t="s">
        <v>492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hidden="1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hidden="1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hidden="1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hidden="1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hidden="1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hidden="1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hidden="1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hidden="1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hidden="1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3217</v>
      </c>
      <c r="J3518" s="2" t="s">
        <v>3216</v>
      </c>
      <c r="K3518" s="2">
        <v>913814877</v>
      </c>
      <c r="L3518" s="2" t="s">
        <v>201</v>
      </c>
      <c r="M3518" s="2" t="s">
        <v>40</v>
      </c>
      <c r="O3518" s="2" t="s">
        <v>3212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hidden="1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3217</v>
      </c>
      <c r="J3519" s="2" t="s">
        <v>3216</v>
      </c>
      <c r="K3519" s="2">
        <v>913814877</v>
      </c>
      <c r="L3519" s="2" t="s">
        <v>201</v>
      </c>
      <c r="M3519" s="2" t="s">
        <v>40</v>
      </c>
      <c r="O3519" s="2" t="s">
        <v>3212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hidden="1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3227</v>
      </c>
      <c r="AA3520" s="2" t="s">
        <v>1041</v>
      </c>
      <c r="AB3520" s="2" t="s">
        <v>1270</v>
      </c>
      <c r="AC3520" s="2" t="s">
        <v>1038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hidden="1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hidden="1" x14ac:dyDescent="0.2">
      <c r="A3523" s="2">
        <v>2026</v>
      </c>
      <c r="B3523" s="2">
        <v>3</v>
      </c>
      <c r="C3523" s="2" t="s">
        <v>3320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hidden="1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hidden="1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hidden="1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hidden="1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hidden="1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hidden="1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hidden="1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hidden="1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hidden="1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3"/>
        <v>-1.0309723280020309</v>
      </c>
      <c r="Z3533" s="2" t="s">
        <v>169</v>
      </c>
      <c r="AA3533" s="2" t="s">
        <v>169</v>
      </c>
      <c r="AF3533" s="2">
        <f t="shared" si="511"/>
        <v>0</v>
      </c>
      <c r="AJ3533" s="2">
        <f t="shared" si="512"/>
        <v>0</v>
      </c>
      <c r="AK3533" s="2">
        <f t="shared" si="514"/>
        <v>-40.61</v>
      </c>
      <c r="AL3533" s="5">
        <f t="shared" si="515"/>
        <v>-1.0309723280020309</v>
      </c>
    </row>
    <row r="3534" spans="1:38" hidden="1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169</v>
      </c>
      <c r="AA3534" s="2" t="s">
        <v>169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3"/>
        <v>-0.53333333333333333</v>
      </c>
      <c r="Z3535" s="2" t="s">
        <v>169</v>
      </c>
      <c r="AA3535" s="2" t="s">
        <v>169</v>
      </c>
      <c r="AF3535" s="2">
        <f t="shared" si="511"/>
        <v>0</v>
      </c>
      <c r="AJ3535" s="2">
        <f t="shared" si="512"/>
        <v>0</v>
      </c>
      <c r="AK3535" s="2">
        <f t="shared" si="514"/>
        <v>-8</v>
      </c>
      <c r="AL3535" s="5">
        <f t="shared" si="515"/>
        <v>-0.53333333333333333</v>
      </c>
    </row>
    <row r="3536" spans="1:38" hidden="1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3"/>
        <v>-0.2</v>
      </c>
      <c r="Z3536" s="2" t="s">
        <v>169</v>
      </c>
      <c r="AA3536" s="2" t="s">
        <v>169</v>
      </c>
      <c r="AF3536" s="2">
        <f t="shared" si="511"/>
        <v>0</v>
      </c>
      <c r="AJ3536" s="2">
        <f t="shared" si="512"/>
        <v>0</v>
      </c>
      <c r="AK3536" s="2">
        <f t="shared" si="514"/>
        <v>-1</v>
      </c>
      <c r="AL3536" s="5">
        <f t="shared" si="515"/>
        <v>-0.2</v>
      </c>
    </row>
    <row r="3537" spans="1:38" hidden="1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3227</v>
      </c>
      <c r="AA3537" s="2" t="s">
        <v>87</v>
      </c>
      <c r="AB3537" s="2" t="s">
        <v>90</v>
      </c>
      <c r="AC3537" s="2" t="s">
        <v>84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hidden="1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3"/>
        <v>-0.2</v>
      </c>
      <c r="Z3538" s="2" t="s">
        <v>169</v>
      </c>
      <c r="AA3538" s="2" t="s">
        <v>169</v>
      </c>
      <c r="AF3538" s="2">
        <f t="shared" si="511"/>
        <v>0</v>
      </c>
      <c r="AJ3538" s="2">
        <f t="shared" si="512"/>
        <v>0</v>
      </c>
      <c r="AK3538" s="2">
        <f t="shared" si="514"/>
        <v>-1</v>
      </c>
      <c r="AL3538" s="5">
        <f t="shared" si="515"/>
        <v>-0.2</v>
      </c>
    </row>
    <row r="3539" spans="1:38" hidden="1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1"/>
        <v>0</v>
      </c>
      <c r="AJ3539" s="2">
        <f t="shared" si="512"/>
        <v>0</v>
      </c>
    </row>
    <row r="3540" spans="1:38" hidden="1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1"/>
        <v>0</v>
      </c>
      <c r="AJ3540" s="2">
        <f t="shared" si="512"/>
        <v>0</v>
      </c>
    </row>
    <row r="3541" spans="1:38" hidden="1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117</v>
      </c>
      <c r="AA3541" s="2" t="s">
        <v>1310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3227</v>
      </c>
      <c r="AA3542" s="2" t="s">
        <v>96</v>
      </c>
      <c r="AB3542" s="2" t="s">
        <v>76</v>
      </c>
      <c r="AC3542" s="2" t="s">
        <v>93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3227</v>
      </c>
      <c r="AA3543" s="2" t="s">
        <v>96</v>
      </c>
      <c r="AB3543" s="2" t="s">
        <v>76</v>
      </c>
      <c r="AC3543" s="2" t="s">
        <v>93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hidden="1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3227</v>
      </c>
      <c r="AA3544" s="2" t="s">
        <v>96</v>
      </c>
      <c r="AB3544" s="2" t="s">
        <v>76</v>
      </c>
      <c r="AC3544" s="2" t="s">
        <v>93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hidden="1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3227</v>
      </c>
      <c r="AA3545" s="2" t="s">
        <v>96</v>
      </c>
      <c r="AB3545" s="2" t="s">
        <v>76</v>
      </c>
      <c r="AC3545" s="2" t="s">
        <v>93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hidden="1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3227</v>
      </c>
      <c r="AA3546" s="2" t="s">
        <v>96</v>
      </c>
      <c r="AB3546" s="2" t="s">
        <v>76</v>
      </c>
      <c r="AC3546" s="2" t="s">
        <v>93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hidden="1" x14ac:dyDescent="0.2">
      <c r="A3547" s="2">
        <v>2026</v>
      </c>
      <c r="B3547" s="2">
        <v>3</v>
      </c>
      <c r="C3547" s="2" t="s">
        <v>3320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3227</v>
      </c>
      <c r="AA3547" s="2" t="s">
        <v>96</v>
      </c>
      <c r="AB3547" s="2" t="s">
        <v>76</v>
      </c>
      <c r="AC3547" s="2" t="s">
        <v>93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3227</v>
      </c>
      <c r="AA3548" s="2" t="s">
        <v>96</v>
      </c>
      <c r="AB3548" s="2" t="s">
        <v>76</v>
      </c>
      <c r="AC3548" s="2" t="s">
        <v>93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hidden="1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3227</v>
      </c>
      <c r="AA3549" s="2" t="s">
        <v>96</v>
      </c>
      <c r="AB3549" s="2" t="s">
        <v>76</v>
      </c>
      <c r="AC3549" s="2" t="s">
        <v>93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hidden="1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3227</v>
      </c>
      <c r="AA3550" s="2" t="s">
        <v>96</v>
      </c>
      <c r="AB3550" s="2" t="s">
        <v>76</v>
      </c>
      <c r="AC3550" s="2" t="s">
        <v>93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hidden="1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3227</v>
      </c>
      <c r="AA3551" s="2" t="s">
        <v>96</v>
      </c>
      <c r="AB3551" s="2" t="s">
        <v>76</v>
      </c>
      <c r="AC3551" s="2" t="s">
        <v>93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hidden="1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3227</v>
      </c>
      <c r="AA3552" s="2" t="s">
        <v>96</v>
      </c>
      <c r="AB3552" s="2" t="s">
        <v>76</v>
      </c>
      <c r="AC3552" s="2" t="s">
        <v>93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hidden="1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3227</v>
      </c>
      <c r="AA3553" s="2" t="s">
        <v>96</v>
      </c>
      <c r="AB3553" s="2" t="s">
        <v>76</v>
      </c>
      <c r="AC3553" s="2" t="s">
        <v>93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hidden="1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3227</v>
      </c>
      <c r="AA3554" s="2" t="s">
        <v>96</v>
      </c>
      <c r="AB3554" s="2" t="s">
        <v>76</v>
      </c>
      <c r="AC3554" s="2" t="s">
        <v>93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hidden="1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3227</v>
      </c>
      <c r="AA3555" s="2" t="s">
        <v>96</v>
      </c>
      <c r="AB3555" s="2" t="s">
        <v>76</v>
      </c>
      <c r="AC3555" s="2" t="s">
        <v>93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hidden="1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3227</v>
      </c>
      <c r="AA3556" s="2" t="s">
        <v>96</v>
      </c>
      <c r="AB3556" s="2" t="s">
        <v>76</v>
      </c>
      <c r="AC3556" s="2" t="s">
        <v>93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hidden="1" x14ac:dyDescent="0.2">
      <c r="A3557" s="2">
        <v>2026</v>
      </c>
      <c r="B3557" s="2">
        <v>3</v>
      </c>
      <c r="D3557" s="2" t="s">
        <v>2143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3227</v>
      </c>
      <c r="AA3557" s="2" t="s">
        <v>96</v>
      </c>
      <c r="AB3557" s="2" t="s">
        <v>76</v>
      </c>
      <c r="AC3557" s="2" t="s">
        <v>93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hidden="1" x14ac:dyDescent="0.2">
      <c r="A3558" s="2">
        <v>2026</v>
      </c>
      <c r="B3558" s="2">
        <v>3</v>
      </c>
      <c r="C3558" s="2" t="s">
        <v>3421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3227</v>
      </c>
      <c r="AA3558" s="2" t="s">
        <v>96</v>
      </c>
      <c r="AB3558" s="2" t="s">
        <v>76</v>
      </c>
      <c r="AC3558" s="2" t="s">
        <v>93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hidden="1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3227</v>
      </c>
      <c r="AA3559" s="2" t="s">
        <v>96</v>
      </c>
      <c r="AB3559" s="2" t="s">
        <v>76</v>
      </c>
      <c r="AC3559" s="2" t="s">
        <v>93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hidden="1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3227</v>
      </c>
      <c r="AA3560" s="2" t="s">
        <v>96</v>
      </c>
      <c r="AB3560" s="2" t="s">
        <v>76</v>
      </c>
      <c r="AC3560" s="2" t="s">
        <v>93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hidden="1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3227</v>
      </c>
      <c r="AA3561" s="2" t="s">
        <v>96</v>
      </c>
      <c r="AB3561" s="2" t="s">
        <v>76</v>
      </c>
      <c r="AC3561" s="2" t="s">
        <v>93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hidden="1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3134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3227</v>
      </c>
      <c r="AA3562" s="2" t="s">
        <v>96</v>
      </c>
      <c r="AB3562" s="2" t="s">
        <v>76</v>
      </c>
      <c r="AC3562" s="2" t="s">
        <v>93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hidden="1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3227</v>
      </c>
      <c r="AA3563" s="2" t="s">
        <v>96</v>
      </c>
      <c r="AB3563" s="2" t="s">
        <v>76</v>
      </c>
      <c r="AC3563" s="2" t="s">
        <v>93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hidden="1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3227</v>
      </c>
      <c r="AA3564" s="2" t="s">
        <v>96</v>
      </c>
      <c r="AB3564" s="2" t="s">
        <v>76</v>
      </c>
      <c r="AC3564" s="2" t="s">
        <v>93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hidden="1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3227</v>
      </c>
      <c r="AA3565" s="2" t="s">
        <v>96</v>
      </c>
      <c r="AB3565" s="2" t="s">
        <v>76</v>
      </c>
      <c r="AC3565" s="2" t="s">
        <v>93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hidden="1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3227</v>
      </c>
      <c r="AA3566" s="2" t="s">
        <v>96</v>
      </c>
      <c r="AB3566" s="2" t="s">
        <v>76</v>
      </c>
      <c r="AC3566" s="2" t="s">
        <v>93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3227</v>
      </c>
      <c r="AA3567" s="2" t="s">
        <v>96</v>
      </c>
      <c r="AB3567" s="2" t="s">
        <v>76</v>
      </c>
      <c r="AC3567" s="2" t="s">
        <v>93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hidden="1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3227</v>
      </c>
      <c r="AA3568" s="2" t="s">
        <v>96</v>
      </c>
      <c r="AB3568" s="2" t="s">
        <v>76</v>
      </c>
      <c r="AC3568" s="2" t="s">
        <v>93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hidden="1" x14ac:dyDescent="0.2">
      <c r="A3569" s="2">
        <v>2026</v>
      </c>
      <c r="B3569" s="2">
        <v>3</v>
      </c>
      <c r="D3569" s="2" t="s">
        <v>582</v>
      </c>
      <c r="E3569" s="2" t="s">
        <v>108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3227</v>
      </c>
      <c r="AA3569" s="2" t="s">
        <v>96</v>
      </c>
      <c r="AB3569" s="2" t="s">
        <v>76</v>
      </c>
      <c r="AC3569" s="2" t="s">
        <v>93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hidden="1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3227</v>
      </c>
      <c r="AA3570" s="2" t="s">
        <v>96</v>
      </c>
      <c r="AB3570" s="2" t="s">
        <v>76</v>
      </c>
      <c r="AC3570" s="2" t="s">
        <v>93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hidden="1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3227</v>
      </c>
      <c r="AA3571" s="2" t="s">
        <v>96</v>
      </c>
      <c r="AB3571" s="2" t="s">
        <v>76</v>
      </c>
      <c r="AC3571" s="2" t="s">
        <v>93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hidden="1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3227</v>
      </c>
      <c r="AA3572" s="2" t="s">
        <v>96</v>
      </c>
      <c r="AB3572" s="2" t="s">
        <v>76</v>
      </c>
      <c r="AC3572" s="2" t="s">
        <v>93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hidden="1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119</v>
      </c>
      <c r="AA3573" s="2" t="s">
        <v>3380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hidden="1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119</v>
      </c>
      <c r="AA3574" s="2" t="s">
        <v>3380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hidden="1" x14ac:dyDescent="0.2">
      <c r="A3575" s="2">
        <v>2026</v>
      </c>
      <c r="B3575" s="2">
        <v>3</v>
      </c>
      <c r="C3575" s="2" t="s">
        <v>3421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104</v>
      </c>
      <c r="AA3575" s="2" t="s">
        <v>3422</v>
      </c>
      <c r="AB3575" s="2" t="s">
        <v>3423</v>
      </c>
      <c r="AC3575" s="2" t="s">
        <v>114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hidden="1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119</v>
      </c>
      <c r="AA3576" s="2" t="s">
        <v>3380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hidden="1" x14ac:dyDescent="0.2">
      <c r="A3577" s="2">
        <v>2026</v>
      </c>
      <c r="B3577" s="2">
        <v>3</v>
      </c>
      <c r="D3577" s="2" t="s">
        <v>2049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119</v>
      </c>
      <c r="AA3577" s="2" t="s">
        <v>3380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hidden="1" x14ac:dyDescent="0.2">
      <c r="A3578" s="2">
        <v>2026</v>
      </c>
      <c r="B3578" s="2">
        <v>4</v>
      </c>
      <c r="C3578" s="2" t="s">
        <v>3319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2049</v>
      </c>
      <c r="G3581" s="2">
        <v>514960337</v>
      </c>
      <c r="H3581" s="2" t="s">
        <v>290</v>
      </c>
      <c r="I3581" s="2" t="s">
        <v>2779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hidden="1" x14ac:dyDescent="0.2">
      <c r="A3582" s="2">
        <v>2026</v>
      </c>
      <c r="B3582" s="2">
        <v>4</v>
      </c>
      <c r="C3582" s="2" t="s">
        <v>3451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hidden="1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3123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32.85</v>
      </c>
      <c r="AL3592" s="5">
        <f t="shared" si="524"/>
        <v>0.51764891270091395</v>
      </c>
    </row>
    <row r="3593" spans="1:38" hidden="1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hidden="1" x14ac:dyDescent="0.2">
      <c r="A3600" s="2">
        <v>2026</v>
      </c>
      <c r="B3600" s="2">
        <v>4</v>
      </c>
      <c r="C3600" s="2" t="s">
        <v>3319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hidden="1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hidden="1" x14ac:dyDescent="0.2">
      <c r="A3605" s="2">
        <v>2026</v>
      </c>
      <c r="B3605" s="2">
        <v>4</v>
      </c>
      <c r="C3605" s="2" t="s">
        <v>3444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hidden="1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117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hidden="1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117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hidden="1" x14ac:dyDescent="0.2">
      <c r="A3615" s="2">
        <v>2026</v>
      </c>
      <c r="B3615" s="2">
        <v>4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117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hidden="1" x14ac:dyDescent="0.2">
      <c r="A3616" s="2">
        <v>2026</v>
      </c>
      <c r="B3616" s="2">
        <v>4</v>
      </c>
      <c r="C3616" s="2" t="s">
        <v>3319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3259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3260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3319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hidden="1" x14ac:dyDescent="0.2">
      <c r="A3619" s="2">
        <v>2026</v>
      </c>
      <c r="B3619" s="2">
        <v>4</v>
      </c>
      <c r="C3619" s="2" t="s">
        <v>3451</v>
      </c>
      <c r="D3619" s="2" t="s">
        <v>3458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3319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hidden="1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3227</v>
      </c>
      <c r="AA3624" s="2" t="s">
        <v>71</v>
      </c>
      <c r="AB3624" s="2" t="s">
        <v>119</v>
      </c>
      <c r="AC3624" s="2" t="s">
        <v>119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3227</v>
      </c>
      <c r="AA3625" s="2" t="s">
        <v>155</v>
      </c>
      <c r="AB3625" s="2" t="s">
        <v>3403</v>
      </c>
      <c r="AC3625" s="2" t="s">
        <v>1327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hidden="1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3227</v>
      </c>
      <c r="AA3626" s="2" t="s">
        <v>578</v>
      </c>
      <c r="AB3626" s="2" t="s">
        <v>119</v>
      </c>
      <c r="AC3626" s="2" t="s">
        <v>1327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hidden="1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104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hidden="1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104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hidden="1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109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9"/>
        <v>1</v>
      </c>
      <c r="Z3633" s="2" t="s">
        <v>104</v>
      </c>
      <c r="AA3633" s="2" t="s">
        <v>1574</v>
      </c>
      <c r="AB3633" s="2" t="s">
        <v>388</v>
      </c>
      <c r="AC3633" s="2" t="s">
        <v>1327</v>
      </c>
      <c r="AF3633" s="2">
        <f t="shared" si="525"/>
        <v>0</v>
      </c>
      <c r="AJ3633" s="2">
        <f t="shared" si="526"/>
        <v>0</v>
      </c>
      <c r="AK3633" s="2">
        <f t="shared" si="527"/>
        <v>250</v>
      </c>
      <c r="AL3633" s="5">
        <f t="shared" si="528"/>
        <v>1</v>
      </c>
    </row>
    <row r="3634" spans="1:38" hidden="1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3227</v>
      </c>
      <c r="AA3634" s="2" t="s">
        <v>71</v>
      </c>
      <c r="AB3634" s="2" t="s">
        <v>119</v>
      </c>
      <c r="AC3634" s="2" t="s">
        <v>119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3227</v>
      </c>
      <c r="AA3635" s="2" t="s">
        <v>71</v>
      </c>
      <c r="AB3635" s="2" t="s">
        <v>119</v>
      </c>
      <c r="AC3635" s="2" t="s">
        <v>119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3227</v>
      </c>
      <c r="AA3636" s="2" t="s">
        <v>46</v>
      </c>
      <c r="AB3636" s="2" t="s">
        <v>60</v>
      </c>
      <c r="AC3636" s="2" t="s">
        <v>3332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3227</v>
      </c>
      <c r="AA3637" s="2" t="s">
        <v>46</v>
      </c>
      <c r="AB3637" s="2" t="s">
        <v>60</v>
      </c>
      <c r="AC3637" s="2" t="s">
        <v>3332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3227</v>
      </c>
      <c r="AA3638" s="2" t="s">
        <v>46</v>
      </c>
      <c r="AB3638" s="2" t="s">
        <v>60</v>
      </c>
      <c r="AC3638" s="2" t="s">
        <v>3332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hidden="1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3227</v>
      </c>
      <c r="AA3639" s="2" t="s">
        <v>46</v>
      </c>
      <c r="AB3639" s="2" t="s">
        <v>47</v>
      </c>
      <c r="AC3639" s="2" t="s">
        <v>57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3227</v>
      </c>
      <c r="AA3640" s="2" t="s">
        <v>46</v>
      </c>
      <c r="AB3640" s="2" t="s">
        <v>47</v>
      </c>
      <c r="AC3640" s="2" t="s">
        <v>57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3227</v>
      </c>
      <c r="AA3641" s="2" t="s">
        <v>46</v>
      </c>
      <c r="AB3641" s="2" t="s">
        <v>47</v>
      </c>
      <c r="AC3641" s="2" t="s">
        <v>57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3227</v>
      </c>
      <c r="AA3642" s="2" t="s">
        <v>75</v>
      </c>
      <c r="AB3642" s="2" t="s">
        <v>76</v>
      </c>
      <c r="AC3642" s="2" t="s">
        <v>77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3227</v>
      </c>
      <c r="AA3643" s="2" t="s">
        <v>96</v>
      </c>
      <c r="AB3643" s="2" t="s">
        <v>76</v>
      </c>
      <c r="AC3643" s="2" t="s">
        <v>93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hidden="1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3227</v>
      </c>
      <c r="AA3644" s="2" t="s">
        <v>46</v>
      </c>
      <c r="AB3644" s="2" t="s">
        <v>47</v>
      </c>
      <c r="AC3644" s="2" t="s">
        <v>57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3227</v>
      </c>
      <c r="AA3645" s="2" t="s">
        <v>46</v>
      </c>
      <c r="AB3645" s="2" t="s">
        <v>47</v>
      </c>
      <c r="AC3645" s="2" t="s">
        <v>57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3227</v>
      </c>
      <c r="AA3646" s="2" t="s">
        <v>46</v>
      </c>
      <c r="AB3646" s="2" t="s">
        <v>47</v>
      </c>
      <c r="AC3646" s="2" t="s">
        <v>57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3227</v>
      </c>
      <c r="AA3647" s="2" t="s">
        <v>46</v>
      </c>
      <c r="AB3647" s="2" t="s">
        <v>47</v>
      </c>
      <c r="AC3647" s="2" t="s">
        <v>57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3227</v>
      </c>
      <c r="AA3648" s="2" t="s">
        <v>46</v>
      </c>
      <c r="AB3648" s="2" t="s">
        <v>47</v>
      </c>
      <c r="AC3648" s="2" t="s">
        <v>57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3227</v>
      </c>
      <c r="AA3649" s="2" t="s">
        <v>46</v>
      </c>
      <c r="AB3649" s="2" t="s">
        <v>47</v>
      </c>
      <c r="AC3649" s="2" t="s">
        <v>57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3227</v>
      </c>
      <c r="AA3650" s="2" t="s">
        <v>46</v>
      </c>
      <c r="AB3650" s="2" t="s">
        <v>47</v>
      </c>
      <c r="AC3650" s="2" t="s">
        <v>57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hidden="1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3227</v>
      </c>
      <c r="AA3651" s="2" t="s">
        <v>46</v>
      </c>
      <c r="AB3651" s="2" t="s">
        <v>47</v>
      </c>
      <c r="AC3651" s="2" t="s">
        <v>57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hidden="1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3227</v>
      </c>
      <c r="AA3652" s="2" t="s">
        <v>46</v>
      </c>
      <c r="AB3652" s="2" t="s">
        <v>47</v>
      </c>
      <c r="AC3652" s="2" t="s">
        <v>57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hidden="1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3227</v>
      </c>
      <c r="AA3653" s="2" t="s">
        <v>75</v>
      </c>
      <c r="AB3653" s="2" t="s">
        <v>76</v>
      </c>
      <c r="AC3653" s="2" t="s">
        <v>77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3227</v>
      </c>
      <c r="AA3654" s="2" t="s">
        <v>46</v>
      </c>
      <c r="AB3654" s="2" t="s">
        <v>47</v>
      </c>
      <c r="AC3654" s="2" t="s">
        <v>57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3227</v>
      </c>
      <c r="AA3655" s="2" t="s">
        <v>96</v>
      </c>
      <c r="AB3655" s="2" t="s">
        <v>76</v>
      </c>
      <c r="AC3655" s="2" t="s">
        <v>93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hidden="1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3227</v>
      </c>
      <c r="AA3656" s="2" t="s">
        <v>46</v>
      </c>
      <c r="AB3656" s="2" t="s">
        <v>47</v>
      </c>
      <c r="AC3656" s="2" t="s">
        <v>57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3227</v>
      </c>
      <c r="AA3657" s="2" t="s">
        <v>46</v>
      </c>
      <c r="AB3657" s="2" t="s">
        <v>47</v>
      </c>
      <c r="AC3657" s="2" t="s">
        <v>57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3227</v>
      </c>
      <c r="AA3658" s="2" t="s">
        <v>46</v>
      </c>
      <c r="AB3658" s="2" t="s">
        <v>47</v>
      </c>
      <c r="AC3658" s="2" t="s">
        <v>57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3227</v>
      </c>
      <c r="AA3659" s="2" t="s">
        <v>46</v>
      </c>
      <c r="AB3659" s="2" t="s">
        <v>47</v>
      </c>
      <c r="AC3659" s="2" t="s">
        <v>57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hidden="1" x14ac:dyDescent="0.2">
      <c r="A3660" s="2">
        <v>2026</v>
      </c>
      <c r="B3660" s="2">
        <v>4</v>
      </c>
      <c r="C3660" s="2" t="s">
        <v>3444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3227</v>
      </c>
      <c r="AA3660" s="2" t="s">
        <v>46</v>
      </c>
      <c r="AB3660" s="2" t="s">
        <v>56</v>
      </c>
      <c r="AC3660" s="2" t="s">
        <v>57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hidden="1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3227</v>
      </c>
      <c r="AA3661" s="2" t="s">
        <v>46</v>
      </c>
      <c r="AB3661" s="2" t="s">
        <v>56</v>
      </c>
      <c r="AC3661" s="2" t="s">
        <v>57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hidden="1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3227</v>
      </c>
      <c r="AA3662" s="2" t="s">
        <v>46</v>
      </c>
      <c r="AB3662" s="2" t="s">
        <v>56</v>
      </c>
      <c r="AC3662" s="2" t="s">
        <v>57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hidden="1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3227</v>
      </c>
      <c r="AA3663" s="2" t="s">
        <v>46</v>
      </c>
      <c r="AB3663" s="2" t="s">
        <v>47</v>
      </c>
      <c r="AC3663" s="2" t="s">
        <v>57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3227</v>
      </c>
      <c r="AA3664" s="2" t="s">
        <v>46</v>
      </c>
      <c r="AB3664" s="2" t="s">
        <v>56</v>
      </c>
      <c r="AC3664" s="2" t="s">
        <v>57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3227</v>
      </c>
      <c r="AA3665" s="2" t="s">
        <v>46</v>
      </c>
      <c r="AB3665" s="2" t="s">
        <v>56</v>
      </c>
      <c r="AC3665" s="2" t="s">
        <v>57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3227</v>
      </c>
      <c r="AA3666" s="2" t="s">
        <v>46</v>
      </c>
      <c r="AB3666" s="2" t="s">
        <v>56</v>
      </c>
      <c r="AC3666" s="2" t="s">
        <v>57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hidden="1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3227</v>
      </c>
      <c r="AA3667" s="2" t="s">
        <v>46</v>
      </c>
      <c r="AB3667" s="2" t="s">
        <v>56</v>
      </c>
      <c r="AC3667" s="2" t="s">
        <v>57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hidden="1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3227</v>
      </c>
      <c r="AA3668" s="2" t="s">
        <v>46</v>
      </c>
      <c r="AB3668" s="2" t="s">
        <v>56</v>
      </c>
      <c r="AC3668" s="2" t="s">
        <v>57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hidden="1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3227</v>
      </c>
      <c r="AA3669" s="2" t="s">
        <v>46</v>
      </c>
      <c r="AB3669" s="2" t="s">
        <v>56</v>
      </c>
      <c r="AC3669" s="2" t="s">
        <v>57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hidden="1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3227</v>
      </c>
      <c r="AA3670" s="2" t="s">
        <v>46</v>
      </c>
      <c r="AB3670" s="2" t="s">
        <v>56</v>
      </c>
      <c r="AC3670" s="2" t="s">
        <v>57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hidden="1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3227</v>
      </c>
      <c r="AA3671" s="2" t="s">
        <v>46</v>
      </c>
      <c r="AB3671" s="2" t="s">
        <v>56</v>
      </c>
      <c r="AC3671" s="2" t="s">
        <v>57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hidden="1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3227</v>
      </c>
      <c r="AA3672" s="2" t="s">
        <v>46</v>
      </c>
      <c r="AB3672" s="2" t="s">
        <v>56</v>
      </c>
      <c r="AC3672" s="2" t="s">
        <v>57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hidden="1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3227</v>
      </c>
      <c r="AA3673" s="2" t="s">
        <v>46</v>
      </c>
      <c r="AB3673" s="2" t="s">
        <v>56</v>
      </c>
      <c r="AC3673" s="2" t="s">
        <v>57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hidden="1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3227</v>
      </c>
      <c r="AA3674" s="2" t="s">
        <v>46</v>
      </c>
      <c r="AB3674" s="2" t="s">
        <v>56</v>
      </c>
      <c r="AC3674" s="2" t="s">
        <v>57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hidden="1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3227</v>
      </c>
      <c r="AA3675" s="2" t="s">
        <v>46</v>
      </c>
      <c r="AB3675" s="2" t="s">
        <v>56</v>
      </c>
      <c r="AC3675" s="2" t="s">
        <v>57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3227</v>
      </c>
      <c r="AA3676" s="2" t="s">
        <v>46</v>
      </c>
      <c r="AB3676" s="2" t="s">
        <v>56</v>
      </c>
      <c r="AC3676" s="2" t="s">
        <v>57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hidden="1" x14ac:dyDescent="0.2">
      <c r="A3677" s="2">
        <v>2026</v>
      </c>
      <c r="B3677" s="2">
        <v>4</v>
      </c>
      <c r="C3677" s="2" t="s">
        <v>3319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3227</v>
      </c>
      <c r="AA3677" s="2" t="s">
        <v>46</v>
      </c>
      <c r="AB3677" s="2" t="s">
        <v>56</v>
      </c>
      <c r="AC3677" s="2" t="s">
        <v>57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3227</v>
      </c>
      <c r="AA3678" s="2" t="s">
        <v>46</v>
      </c>
      <c r="AB3678" s="2" t="s">
        <v>56</v>
      </c>
      <c r="AC3678" s="2" t="s">
        <v>57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3227</v>
      </c>
      <c r="AA3679" s="2" t="s">
        <v>46</v>
      </c>
      <c r="AB3679" s="2" t="s">
        <v>56</v>
      </c>
      <c r="AC3679" s="2" t="s">
        <v>57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3227</v>
      </c>
      <c r="AA3680" s="2" t="s">
        <v>46</v>
      </c>
      <c r="AB3680" s="2" t="s">
        <v>56</v>
      </c>
      <c r="AC3680" s="2" t="s">
        <v>57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3227</v>
      </c>
      <c r="AA3681" s="2" t="s">
        <v>46</v>
      </c>
      <c r="AB3681" s="2" t="s">
        <v>56</v>
      </c>
      <c r="AC3681" s="2" t="s">
        <v>57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3227</v>
      </c>
      <c r="AA3682" s="2" t="s">
        <v>46</v>
      </c>
      <c r="AB3682" s="2" t="s">
        <v>90</v>
      </c>
      <c r="AC3682" s="2" t="s">
        <v>57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hidden="1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3227</v>
      </c>
      <c r="AA3683" s="2" t="s">
        <v>46</v>
      </c>
      <c r="AB3683" s="2" t="s">
        <v>90</v>
      </c>
      <c r="AC3683" s="2" t="s">
        <v>57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3227</v>
      </c>
      <c r="AA3684" s="2" t="s">
        <v>46</v>
      </c>
      <c r="AB3684" s="2" t="s">
        <v>60</v>
      </c>
      <c r="AC3684" s="2" t="s">
        <v>57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3227</v>
      </c>
      <c r="AA3685" s="2" t="s">
        <v>46</v>
      </c>
      <c r="AB3685" s="2" t="s">
        <v>60</v>
      </c>
      <c r="AC3685" s="2" t="s">
        <v>57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3227</v>
      </c>
      <c r="AA3686" s="2" t="s">
        <v>46</v>
      </c>
      <c r="AB3686" s="2" t="s">
        <v>60</v>
      </c>
      <c r="AC3686" s="2" t="s">
        <v>57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3227</v>
      </c>
      <c r="AA3687" s="2" t="s">
        <v>46</v>
      </c>
      <c r="AB3687" s="2" t="s">
        <v>60</v>
      </c>
      <c r="AC3687" s="2" t="s">
        <v>57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hidden="1" x14ac:dyDescent="0.2">
      <c r="A3688" s="2">
        <v>2026</v>
      </c>
      <c r="B3688" s="2">
        <v>4</v>
      </c>
      <c r="C3688" s="2" t="s">
        <v>3444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3227</v>
      </c>
      <c r="AA3688" s="2" t="s">
        <v>46</v>
      </c>
      <c r="AB3688" s="2" t="s">
        <v>60</v>
      </c>
      <c r="AC3688" s="2" t="s">
        <v>57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3227</v>
      </c>
      <c r="AA3689" s="2" t="s">
        <v>46</v>
      </c>
      <c r="AB3689" s="2" t="s">
        <v>60</v>
      </c>
      <c r="AC3689" s="2" t="s">
        <v>57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3227</v>
      </c>
      <c r="AA3690" s="2" t="s">
        <v>46</v>
      </c>
      <c r="AB3690" s="2" t="s">
        <v>60</v>
      </c>
      <c r="AC3690" s="2" t="s">
        <v>57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3227</v>
      </c>
      <c r="AA3691" s="2" t="s">
        <v>46</v>
      </c>
      <c r="AB3691" s="2" t="s">
        <v>60</v>
      </c>
      <c r="AC3691" s="2" t="s">
        <v>57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3227</v>
      </c>
      <c r="AA3692" s="2" t="s">
        <v>46</v>
      </c>
      <c r="AB3692" s="2" t="s">
        <v>60</v>
      </c>
      <c r="AC3692" s="2" t="s">
        <v>57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3227</v>
      </c>
      <c r="AA3693" s="2" t="s">
        <v>46</v>
      </c>
      <c r="AB3693" s="2" t="s">
        <v>60</v>
      </c>
      <c r="AC3693" s="2" t="s">
        <v>57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hidden="1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3227</v>
      </c>
      <c r="AA3694" s="2" t="s">
        <v>46</v>
      </c>
      <c r="AB3694" s="2" t="s">
        <v>60</v>
      </c>
      <c r="AC3694" s="2" t="s">
        <v>57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3227</v>
      </c>
      <c r="AA3695" s="2" t="s">
        <v>46</v>
      </c>
      <c r="AB3695" s="2" t="s">
        <v>90</v>
      </c>
      <c r="AC3695" s="2" t="s">
        <v>57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hidden="1" x14ac:dyDescent="0.2">
      <c r="A3696" s="2">
        <v>2026</v>
      </c>
      <c r="B3696" s="2">
        <v>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3227</v>
      </c>
      <c r="AA3696" s="2" t="s">
        <v>46</v>
      </c>
      <c r="AB3696" s="2" t="s">
        <v>47</v>
      </c>
      <c r="AC3696" s="2" t="s">
        <v>57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hidden="1" x14ac:dyDescent="0.2">
      <c r="A3697" s="2">
        <v>2026</v>
      </c>
      <c r="B3697" s="2">
        <v>4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3227</v>
      </c>
      <c r="AA3697" s="2" t="s">
        <v>46</v>
      </c>
      <c r="AB3697" s="2" t="s">
        <v>47</v>
      </c>
      <c r="AC3697" s="2" t="s">
        <v>57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hidden="1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3227</v>
      </c>
      <c r="AA3698" s="2" t="s">
        <v>46</v>
      </c>
      <c r="AB3698" s="2" t="s">
        <v>60</v>
      </c>
      <c r="AC3698" s="2" t="s">
        <v>57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3227</v>
      </c>
      <c r="AA3699" s="2" t="s">
        <v>46</v>
      </c>
      <c r="AB3699" s="2" t="s">
        <v>60</v>
      </c>
      <c r="AC3699" s="2" t="s">
        <v>57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3227</v>
      </c>
      <c r="AA3700" s="2" t="s">
        <v>46</v>
      </c>
      <c r="AB3700" s="2" t="s">
        <v>90</v>
      </c>
      <c r="AC3700" s="2" t="s">
        <v>57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3227</v>
      </c>
      <c r="AA3701" s="2" t="s">
        <v>46</v>
      </c>
      <c r="AB3701" s="2" t="s">
        <v>67</v>
      </c>
      <c r="AC3701" s="2" t="s">
        <v>57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3227</v>
      </c>
      <c r="AA3702" s="2" t="s">
        <v>46</v>
      </c>
      <c r="AB3702" s="2" t="s">
        <v>67</v>
      </c>
      <c r="AC3702" s="2" t="s">
        <v>57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3227</v>
      </c>
      <c r="AA3703" s="2" t="s">
        <v>46</v>
      </c>
      <c r="AB3703" s="2" t="s">
        <v>60</v>
      </c>
      <c r="AC3703" s="2" t="s">
        <v>57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hidden="1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3227</v>
      </c>
      <c r="AA3704" s="2" t="s">
        <v>46</v>
      </c>
      <c r="AB3704" s="2" t="s">
        <v>60</v>
      </c>
      <c r="AC3704" s="2" t="s">
        <v>57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hidden="1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3227</v>
      </c>
      <c r="AA3705" s="2" t="s">
        <v>46</v>
      </c>
      <c r="AB3705" s="2" t="s">
        <v>60</v>
      </c>
      <c r="AC3705" s="2" t="s">
        <v>57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hidden="1" x14ac:dyDescent="0.2">
      <c r="A3706" s="2">
        <v>2026</v>
      </c>
      <c r="B3706" s="2">
        <v>4</v>
      </c>
      <c r="C3706" s="2" t="s">
        <v>3444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3227</v>
      </c>
      <c r="AA3706" s="2" t="s">
        <v>46</v>
      </c>
      <c r="AB3706" s="2" t="s">
        <v>67</v>
      </c>
      <c r="AC3706" s="2" t="s">
        <v>57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3227</v>
      </c>
      <c r="AA3707" s="2" t="s">
        <v>46</v>
      </c>
      <c r="AB3707" s="2" t="s">
        <v>67</v>
      </c>
      <c r="AC3707" s="2" t="s">
        <v>57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3227</v>
      </c>
      <c r="AA3708" s="2" t="s">
        <v>46</v>
      </c>
      <c r="AB3708" s="2" t="s">
        <v>67</v>
      </c>
      <c r="AC3708" s="2" t="s">
        <v>57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3227</v>
      </c>
      <c r="AA3709" s="2" t="s">
        <v>46</v>
      </c>
      <c r="AB3709" s="2" t="s">
        <v>67</v>
      </c>
      <c r="AC3709" s="2" t="s">
        <v>57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3227</v>
      </c>
      <c r="AA3710" s="2" t="s">
        <v>46</v>
      </c>
      <c r="AB3710" s="2" t="s">
        <v>67</v>
      </c>
      <c r="AC3710" s="2" t="s">
        <v>57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3227</v>
      </c>
      <c r="AA3711" s="2" t="s">
        <v>46</v>
      </c>
      <c r="AB3711" s="2" t="s">
        <v>67</v>
      </c>
      <c r="AC3711" s="2" t="s">
        <v>57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582</v>
      </c>
      <c r="E3712" s="2" t="s">
        <v>108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3227</v>
      </c>
      <c r="AA3712" s="2" t="s">
        <v>46</v>
      </c>
      <c r="AB3712" s="2" t="s">
        <v>67</v>
      </c>
      <c r="AC3712" s="2" t="s">
        <v>57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3227</v>
      </c>
      <c r="AA3713" s="2" t="s">
        <v>46</v>
      </c>
      <c r="AB3713" s="2" t="s">
        <v>67</v>
      </c>
      <c r="AC3713" s="2" t="s">
        <v>57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3227</v>
      </c>
      <c r="AA3714" s="2" t="s">
        <v>46</v>
      </c>
      <c r="AB3714" s="2" t="s">
        <v>67</v>
      </c>
      <c r="AC3714" s="2" t="s">
        <v>57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hidden="1" x14ac:dyDescent="0.2">
      <c r="A3715" s="2">
        <v>2026</v>
      </c>
      <c r="B3715" s="2">
        <v>4</v>
      </c>
      <c r="C3715" s="2" t="s">
        <v>3444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3227</v>
      </c>
      <c r="AA3715" s="2" t="s">
        <v>46</v>
      </c>
      <c r="AB3715" s="2" t="s">
        <v>90</v>
      </c>
      <c r="AC3715" s="2" t="s">
        <v>57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3319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3230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3230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3227</v>
      </c>
      <c r="AA3717" s="2" t="s">
        <v>75</v>
      </c>
      <c r="AB3717" s="2" t="s">
        <v>76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3227</v>
      </c>
      <c r="AA3718" s="2" t="s">
        <v>75</v>
      </c>
      <c r="AB3718" s="2" t="s">
        <v>76</v>
      </c>
      <c r="AC3718" s="2" t="s">
        <v>77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3227</v>
      </c>
      <c r="AA3719" s="2" t="s">
        <v>75</v>
      </c>
      <c r="AB3719" s="2" t="s">
        <v>76</v>
      </c>
      <c r="AC3719" s="2" t="s">
        <v>77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3227</v>
      </c>
      <c r="AA3720" s="2" t="s">
        <v>75</v>
      </c>
      <c r="AB3720" s="2" t="s">
        <v>76</v>
      </c>
      <c r="AC3720" s="2" t="s">
        <v>77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3227</v>
      </c>
      <c r="AA3721" s="2" t="s">
        <v>75</v>
      </c>
      <c r="AB3721" s="2" t="s">
        <v>76</v>
      </c>
      <c r="AC3721" s="2" t="s">
        <v>77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3227</v>
      </c>
      <c r="AA3722" s="2" t="s">
        <v>75</v>
      </c>
      <c r="AB3722" s="2" t="s">
        <v>76</v>
      </c>
      <c r="AC3722" s="2" t="s">
        <v>77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3227</v>
      </c>
      <c r="AA3723" s="2" t="s">
        <v>75</v>
      </c>
      <c r="AB3723" s="2" t="s">
        <v>76</v>
      </c>
      <c r="AC3723" s="2" t="s">
        <v>77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3227</v>
      </c>
      <c r="AA3724" s="2" t="s">
        <v>75</v>
      </c>
      <c r="AB3724" s="2" t="s">
        <v>76</v>
      </c>
      <c r="AC3724" s="2" t="s">
        <v>77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3227</v>
      </c>
      <c r="AA3725" s="2" t="s">
        <v>75</v>
      </c>
      <c r="AB3725" s="2" t="s">
        <v>76</v>
      </c>
      <c r="AC3725" s="2" t="s">
        <v>77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3227</v>
      </c>
      <c r="AA3726" s="2" t="s">
        <v>75</v>
      </c>
      <c r="AB3726" s="2" t="s">
        <v>76</v>
      </c>
      <c r="AC3726" s="2" t="s">
        <v>77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3227</v>
      </c>
      <c r="AA3727" s="2" t="s">
        <v>75</v>
      </c>
      <c r="AB3727" s="2" t="s">
        <v>76</v>
      </c>
      <c r="AC3727" s="2" t="s">
        <v>77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3227</v>
      </c>
      <c r="AA3728" s="2" t="s">
        <v>75</v>
      </c>
      <c r="AB3728" s="2" t="s">
        <v>76</v>
      </c>
      <c r="AC3728" s="2" t="s">
        <v>77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3227</v>
      </c>
      <c r="AA3729" s="2" t="s">
        <v>75</v>
      </c>
      <c r="AB3729" s="2" t="s">
        <v>76</v>
      </c>
      <c r="AC3729" s="2" t="s">
        <v>77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198</v>
      </c>
      <c r="E3730" s="2" t="s">
        <v>108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3227</v>
      </c>
      <c r="AA3730" s="2" t="s">
        <v>75</v>
      </c>
      <c r="AB3730" s="2" t="s">
        <v>76</v>
      </c>
      <c r="AC3730" s="2" t="s">
        <v>77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3227</v>
      </c>
      <c r="AA3731" s="2" t="s">
        <v>75</v>
      </c>
      <c r="AB3731" s="2" t="s">
        <v>76</v>
      </c>
      <c r="AC3731" s="2" t="s">
        <v>77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3227</v>
      </c>
      <c r="AA3732" s="2" t="s">
        <v>75</v>
      </c>
      <c r="AB3732" s="2" t="s">
        <v>76</v>
      </c>
      <c r="AC3732" s="2" t="s">
        <v>77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3227</v>
      </c>
      <c r="AA3733" s="2" t="s">
        <v>75</v>
      </c>
      <c r="AB3733" s="2" t="s">
        <v>76</v>
      </c>
      <c r="AC3733" s="2" t="s">
        <v>77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3227</v>
      </c>
      <c r="AA3734" s="2" t="s">
        <v>75</v>
      </c>
      <c r="AB3734" s="2" t="s">
        <v>76</v>
      </c>
      <c r="AC3734" s="2" t="s">
        <v>77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3227</v>
      </c>
      <c r="AA3735" s="2" t="s">
        <v>75</v>
      </c>
      <c r="AB3735" s="2" t="s">
        <v>76</v>
      </c>
      <c r="AC3735" s="2" t="s">
        <v>77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3227</v>
      </c>
      <c r="AA3736" s="2" t="s">
        <v>75</v>
      </c>
      <c r="AB3736" s="2" t="s">
        <v>76</v>
      </c>
      <c r="AC3736" s="2" t="s">
        <v>77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3227</v>
      </c>
      <c r="AA3737" s="2" t="s">
        <v>75</v>
      </c>
      <c r="AB3737" s="2" t="s">
        <v>76</v>
      </c>
      <c r="AC3737" s="2" t="s">
        <v>1038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3227</v>
      </c>
      <c r="AA3738" s="2" t="s">
        <v>75</v>
      </c>
      <c r="AB3738" s="2" t="s">
        <v>76</v>
      </c>
      <c r="AC3738" s="2" t="s">
        <v>1038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3157</v>
      </c>
      <c r="L3739" s="2" t="s">
        <v>112</v>
      </c>
      <c r="M3739" s="2" t="s">
        <v>80</v>
      </c>
      <c r="O3739" s="2" t="s">
        <v>3159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3227</v>
      </c>
      <c r="AA3739" s="2" t="s">
        <v>75</v>
      </c>
      <c r="AB3739" s="2" t="s">
        <v>76</v>
      </c>
      <c r="AC3739" s="2" t="s">
        <v>1038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3158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3227</v>
      </c>
      <c r="AA3740" s="2" t="s">
        <v>75</v>
      </c>
      <c r="AB3740" s="2" t="s">
        <v>76</v>
      </c>
      <c r="AC3740" s="2" t="s">
        <v>1038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3163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3227</v>
      </c>
      <c r="AA3741" s="2" t="s">
        <v>75</v>
      </c>
      <c r="AB3741" s="2" t="s">
        <v>76</v>
      </c>
      <c r="AC3741" s="2" t="s">
        <v>1038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3227</v>
      </c>
      <c r="AA3742" s="2" t="s">
        <v>75</v>
      </c>
      <c r="AB3742" s="2" t="s">
        <v>76</v>
      </c>
      <c r="AC3742" s="2" t="s">
        <v>1038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3227</v>
      </c>
      <c r="AA3743" s="2" t="s">
        <v>75</v>
      </c>
      <c r="AB3743" s="2" t="s">
        <v>76</v>
      </c>
      <c r="AC3743" s="2" t="s">
        <v>1038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554">(T3744-W3744)/T3744</f>
        <v>0.50750000000000006</v>
      </c>
      <c r="Z3744" s="2" t="s">
        <v>3227</v>
      </c>
      <c r="AA3744" s="2" t="s">
        <v>87</v>
      </c>
      <c r="AB3744" s="2" t="s">
        <v>90</v>
      </c>
      <c r="AC3744" s="2" t="s">
        <v>84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7.1050000000000004</v>
      </c>
      <c r="AL3744" s="5">
        <f t="shared" ref="AL3744:AL3766" si="556">(T3744-W3744)/T3744</f>
        <v>0.50750000000000006</v>
      </c>
    </row>
    <row r="3745" spans="1:38" hidden="1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3227</v>
      </c>
      <c r="AA3745" s="2" t="s">
        <v>46</v>
      </c>
      <c r="AB3745" s="2" t="s">
        <v>56</v>
      </c>
      <c r="AC3745" s="2" t="s">
        <v>57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3227</v>
      </c>
      <c r="AA3746" s="2" t="s">
        <v>87</v>
      </c>
      <c r="AB3746" s="2" t="s">
        <v>90</v>
      </c>
      <c r="AC3746" s="2" t="s">
        <v>84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3227</v>
      </c>
      <c r="AA3747" s="2" t="s">
        <v>87</v>
      </c>
      <c r="AB3747" s="2" t="s">
        <v>90</v>
      </c>
      <c r="AC3747" s="2" t="s">
        <v>84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3227</v>
      </c>
      <c r="AA3748" s="2" t="s">
        <v>87</v>
      </c>
      <c r="AB3748" s="2" t="s">
        <v>90</v>
      </c>
      <c r="AC3748" s="2" t="s">
        <v>84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hidden="1" x14ac:dyDescent="0.2">
      <c r="A3749" s="2">
        <v>2026</v>
      </c>
      <c r="B3749" s="2">
        <v>4</v>
      </c>
      <c r="D3749" s="2" t="s">
        <v>2846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3227</v>
      </c>
      <c r="AA3749" s="2" t="s">
        <v>87</v>
      </c>
      <c r="AB3749" s="2" t="s">
        <v>90</v>
      </c>
      <c r="AC3749" s="2" t="s">
        <v>84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4"/>
        <v>0.4107142857142857</v>
      </c>
      <c r="Z3750" s="2" t="s">
        <v>3227</v>
      </c>
      <c r="AA3750" s="2" t="s">
        <v>87</v>
      </c>
      <c r="AB3750" s="2" t="s">
        <v>90</v>
      </c>
      <c r="AC3750" s="2" t="s">
        <v>84</v>
      </c>
      <c r="AF3750" s="2">
        <f t="shared" si="549"/>
        <v>0</v>
      </c>
      <c r="AJ3750" s="2">
        <f t="shared" si="550"/>
        <v>0</v>
      </c>
      <c r="AK3750" s="2">
        <f t="shared" si="555"/>
        <v>3.45</v>
      </c>
      <c r="AL3750" s="5">
        <f t="shared" si="556"/>
        <v>0.4107142857142857</v>
      </c>
    </row>
    <row r="3751" spans="1:38" hidden="1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3227</v>
      </c>
      <c r="AA3751" s="2" t="s">
        <v>87</v>
      </c>
      <c r="AB3751" s="2" t="s">
        <v>90</v>
      </c>
      <c r="AC3751" s="2" t="s">
        <v>84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3227</v>
      </c>
      <c r="AA3752" s="2" t="s">
        <v>87</v>
      </c>
      <c r="AB3752" s="2" t="s">
        <v>90</v>
      </c>
      <c r="AC3752" s="2" t="s">
        <v>84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hidden="1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3227</v>
      </c>
      <c r="AA3753" s="2" t="s">
        <v>71</v>
      </c>
      <c r="AB3753" s="2" t="s">
        <v>2897</v>
      </c>
      <c r="AC3753" s="2" t="s">
        <v>2897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hidden="1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hidden="1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117</v>
      </c>
      <c r="AA3755" s="2" t="s">
        <v>317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hidden="1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hidden="1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hidden="1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3227</v>
      </c>
      <c r="AA3758" s="2" t="s">
        <v>46</v>
      </c>
      <c r="AB3758" s="2" t="s">
        <v>60</v>
      </c>
      <c r="AC3758" s="2" t="s">
        <v>57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hidden="1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hidden="1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hidden="1" x14ac:dyDescent="0.2">
      <c r="A3762" s="2">
        <v>2026</v>
      </c>
      <c r="B3762" s="2">
        <v>3</v>
      </c>
      <c r="D3762" s="2" t="s">
        <v>2049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2049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hidden="1" x14ac:dyDescent="0.2">
      <c r="A3764" s="2">
        <v>2026</v>
      </c>
      <c r="B3764" s="2">
        <v>4</v>
      </c>
      <c r="D3764" s="2" t="s">
        <v>2049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hidden="1" x14ac:dyDescent="0.2">
      <c r="A3765" s="2">
        <v>2026</v>
      </c>
      <c r="B3765" s="2">
        <v>4</v>
      </c>
      <c r="D3765" s="2" t="s">
        <v>2049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hidden="1" x14ac:dyDescent="0.2">
      <c r="A3766" s="2">
        <v>2026</v>
      </c>
      <c r="B3766" s="2">
        <v>4</v>
      </c>
      <c r="C3766" s="2" t="s">
        <v>3446</v>
      </c>
      <c r="D3766" s="2" t="s">
        <v>2904</v>
      </c>
      <c r="F3766" s="2" t="s">
        <v>3445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hidden="1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hidden="1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hidden="1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hidden="1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hidden="1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hidden="1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hidden="1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hidden="1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hidden="1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hidden="1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hidden="1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hidden="1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hidden="1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hidden="1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hidden="1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1"/>
        <v>0</v>
      </c>
      <c r="AJ3784" s="2">
        <f t="shared" si="562"/>
        <v>0</v>
      </c>
      <c r="AK3784" s="2">
        <f t="shared" si="560"/>
        <v>2</v>
      </c>
      <c r="AL3784" s="5">
        <f t="shared" ref="AL3784:AL3792" si="563">(T3784-W3784)/T3784</f>
        <v>0.25</v>
      </c>
    </row>
    <row r="3785" spans="1:38" hidden="1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hidden="1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hidden="1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hidden="1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hidden="1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hidden="1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hidden="1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hidden="1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hidden="1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hidden="1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hidden="1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hidden="1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hidden="1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hidden="1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hidden="1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hidden="1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hidden="1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hidden="1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hidden="1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hidden="1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hidden="1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6"/>
        <v>-0.25</v>
      </c>
      <c r="Z3810" s="2" t="s">
        <v>169</v>
      </c>
      <c r="AA3810" s="2" t="s">
        <v>169</v>
      </c>
      <c r="AF3810" s="2">
        <f t="shared" si="561"/>
        <v>0</v>
      </c>
      <c r="AJ3810" s="2">
        <f t="shared" si="562"/>
        <v>0</v>
      </c>
      <c r="AK3810" s="2">
        <f t="shared" si="568"/>
        <v>-30</v>
      </c>
      <c r="AL3810" s="5">
        <f t="shared" si="567"/>
        <v>-0.25</v>
      </c>
    </row>
    <row r="3811" spans="1:38" hidden="1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6"/>
        <v>-0.2</v>
      </c>
      <c r="Z3811" s="2" t="s">
        <v>169</v>
      </c>
      <c r="AA3811" s="2" t="s">
        <v>169</v>
      </c>
      <c r="AF3811" s="2">
        <f t="shared" si="561"/>
        <v>0</v>
      </c>
      <c r="AJ3811" s="2">
        <f t="shared" si="562"/>
        <v>0</v>
      </c>
      <c r="AK3811" s="2">
        <f t="shared" si="568"/>
        <v>-1</v>
      </c>
      <c r="AL3811" s="5">
        <f t="shared" si="567"/>
        <v>-0.2</v>
      </c>
    </row>
    <row r="3812" spans="1:38" hidden="1" x14ac:dyDescent="0.2">
      <c r="A3812" s="2">
        <v>2026</v>
      </c>
      <c r="B3812" s="2">
        <v>4</v>
      </c>
      <c r="D3812" s="2" t="s">
        <v>2049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6"/>
        <v>-0.2</v>
      </c>
      <c r="Z3812" s="2" t="s">
        <v>169</v>
      </c>
      <c r="AA3812" s="2" t="s">
        <v>169</v>
      </c>
      <c r="AF3812" s="2">
        <f t="shared" si="561"/>
        <v>0</v>
      </c>
      <c r="AJ3812" s="2">
        <f t="shared" si="562"/>
        <v>0</v>
      </c>
      <c r="AK3812" s="2">
        <f t="shared" si="568"/>
        <v>-1</v>
      </c>
      <c r="AL3812" s="5">
        <f t="shared" si="567"/>
        <v>-0.2</v>
      </c>
    </row>
    <row r="3813" spans="1:38" hidden="1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169</v>
      </c>
      <c r="AA3813" s="2" t="s">
        <v>169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6"/>
        <v>0.25</v>
      </c>
      <c r="Z3814" s="2" t="s">
        <v>169</v>
      </c>
      <c r="AA3814" s="2" t="s">
        <v>169</v>
      </c>
      <c r="AF3814" s="2">
        <f t="shared" si="561"/>
        <v>0</v>
      </c>
      <c r="AJ3814" s="2">
        <f t="shared" si="562"/>
        <v>0</v>
      </c>
      <c r="AK3814" s="2">
        <f t="shared" si="568"/>
        <v>2</v>
      </c>
      <c r="AL3814" s="5">
        <f t="shared" si="567"/>
        <v>0.25</v>
      </c>
    </row>
    <row r="3815" spans="1:38" hidden="1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6"/>
        <v>-0.53333333333333333</v>
      </c>
      <c r="Z3815" s="2" t="s">
        <v>169</v>
      </c>
      <c r="AA3815" s="2" t="s">
        <v>169</v>
      </c>
      <c r="AF3815" s="2">
        <f t="shared" si="561"/>
        <v>0</v>
      </c>
      <c r="AJ3815" s="2">
        <f t="shared" si="562"/>
        <v>0</v>
      </c>
      <c r="AK3815" s="2">
        <f t="shared" si="568"/>
        <v>-8</v>
      </c>
      <c r="AL3815" s="5">
        <f t="shared" si="567"/>
        <v>-0.53333333333333333</v>
      </c>
    </row>
    <row r="3816" spans="1:38" hidden="1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169</v>
      </c>
      <c r="AA3816" s="2" t="s">
        <v>169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hidden="1" x14ac:dyDescent="0.2">
      <c r="A3817" s="2">
        <v>2026</v>
      </c>
      <c r="B3817" s="2">
        <v>4</v>
      </c>
      <c r="C3817" s="2" t="s">
        <v>3469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3227</v>
      </c>
      <c r="AA3818" s="2" t="s">
        <v>96</v>
      </c>
      <c r="AB3818" s="2" t="s">
        <v>76</v>
      </c>
      <c r="AC3818" s="2" t="s">
        <v>93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3227</v>
      </c>
      <c r="AA3819" s="2" t="s">
        <v>96</v>
      </c>
      <c r="AB3819" s="2" t="s">
        <v>76</v>
      </c>
      <c r="AC3819" s="2" t="s">
        <v>93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hidden="1" x14ac:dyDescent="0.2">
      <c r="A3820" s="2">
        <v>2026</v>
      </c>
      <c r="B3820" s="2">
        <v>4</v>
      </c>
      <c r="D3820" s="2" t="s">
        <v>198</v>
      </c>
      <c r="E3820" s="2" t="s">
        <v>108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3227</v>
      </c>
      <c r="AA3820" s="2" t="s">
        <v>96</v>
      </c>
      <c r="AB3820" s="2" t="s">
        <v>76</v>
      </c>
      <c r="AC3820" s="2" t="s">
        <v>93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hidden="1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3227</v>
      </c>
      <c r="AA3821" s="2" t="s">
        <v>96</v>
      </c>
      <c r="AB3821" s="2" t="s">
        <v>76</v>
      </c>
      <c r="AC3821" s="2" t="s">
        <v>93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hidden="1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3227</v>
      </c>
      <c r="AA3822" s="2" t="s">
        <v>96</v>
      </c>
      <c r="AB3822" s="2" t="s">
        <v>76</v>
      </c>
      <c r="AC3822" s="2" t="s">
        <v>93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hidden="1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3227</v>
      </c>
      <c r="AA3823" s="2" t="s">
        <v>96</v>
      </c>
      <c r="AB3823" s="2" t="s">
        <v>76</v>
      </c>
      <c r="AC3823" s="2" t="s">
        <v>93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hidden="1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3227</v>
      </c>
      <c r="AA3824" s="2" t="s">
        <v>96</v>
      </c>
      <c r="AB3824" s="2" t="s">
        <v>76</v>
      </c>
      <c r="AC3824" s="2" t="s">
        <v>93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hidden="1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3227</v>
      </c>
      <c r="AA3825" s="2" t="s">
        <v>96</v>
      </c>
      <c r="AB3825" s="2" t="s">
        <v>76</v>
      </c>
      <c r="AC3825" s="2" t="s">
        <v>93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hidden="1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3227</v>
      </c>
      <c r="AA3826" s="2" t="s">
        <v>96</v>
      </c>
      <c r="AB3826" s="2" t="s">
        <v>76</v>
      </c>
      <c r="AC3826" s="2" t="s">
        <v>93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3227</v>
      </c>
      <c r="AA3827" s="2" t="s">
        <v>96</v>
      </c>
      <c r="AB3827" s="2" t="s">
        <v>76</v>
      </c>
      <c r="AC3827" s="2" t="s">
        <v>93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hidden="1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3227</v>
      </c>
      <c r="AA3828" s="2" t="s">
        <v>96</v>
      </c>
      <c r="AB3828" s="2" t="s">
        <v>76</v>
      </c>
      <c r="AC3828" s="2" t="s">
        <v>93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hidden="1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3227</v>
      </c>
      <c r="AA3829" s="2" t="s">
        <v>96</v>
      </c>
      <c r="AB3829" s="2" t="s">
        <v>76</v>
      </c>
      <c r="AC3829" s="2" t="s">
        <v>93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hidden="1" x14ac:dyDescent="0.2">
      <c r="A3830" s="2">
        <v>2026</v>
      </c>
      <c r="B3830" s="2">
        <v>4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3227</v>
      </c>
      <c r="AA3830" s="2" t="s">
        <v>96</v>
      </c>
      <c r="AB3830" s="2" t="s">
        <v>76</v>
      </c>
      <c r="AC3830" s="2" t="s">
        <v>93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hidden="1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3227</v>
      </c>
      <c r="AA3831" s="2" t="s">
        <v>96</v>
      </c>
      <c r="AB3831" s="2" t="s">
        <v>76</v>
      </c>
      <c r="AC3831" s="2" t="s">
        <v>93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hidden="1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3227</v>
      </c>
      <c r="AA3832" s="2" t="s">
        <v>96</v>
      </c>
      <c r="AB3832" s="2" t="s">
        <v>76</v>
      </c>
      <c r="AC3832" s="2" t="s">
        <v>93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hidden="1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3227</v>
      </c>
      <c r="AA3833" s="2" t="s">
        <v>96</v>
      </c>
      <c r="AB3833" s="2" t="s">
        <v>76</v>
      </c>
      <c r="AC3833" s="2" t="s">
        <v>93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hidden="1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3227</v>
      </c>
      <c r="AA3834" s="2" t="s">
        <v>96</v>
      </c>
      <c r="AB3834" s="2" t="s">
        <v>76</v>
      </c>
      <c r="AC3834" s="2" t="s">
        <v>93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hidden="1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3227</v>
      </c>
      <c r="AA3835" s="2" t="s">
        <v>96</v>
      </c>
      <c r="AB3835" s="2" t="s">
        <v>76</v>
      </c>
      <c r="AC3835" s="2" t="s">
        <v>93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hidden="1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3227</v>
      </c>
      <c r="AA3836" s="2" t="s">
        <v>96</v>
      </c>
      <c r="AB3836" s="2" t="s">
        <v>76</v>
      </c>
      <c r="AC3836" s="2" t="s">
        <v>93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hidden="1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3227</v>
      </c>
      <c r="AA3837" s="2" t="s">
        <v>96</v>
      </c>
      <c r="AB3837" s="2" t="s">
        <v>76</v>
      </c>
      <c r="AC3837" s="2" t="s">
        <v>93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hidden="1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3227</v>
      </c>
      <c r="AA3838" s="2" t="s">
        <v>96</v>
      </c>
      <c r="AB3838" s="2" t="s">
        <v>76</v>
      </c>
      <c r="AC3838" s="2" t="s">
        <v>93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hidden="1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3227</v>
      </c>
      <c r="AA3839" s="2" t="s">
        <v>96</v>
      </c>
      <c r="AB3839" s="2" t="s">
        <v>76</v>
      </c>
      <c r="AC3839" s="2" t="s">
        <v>93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hidden="1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hidden="1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3380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hidden="1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3227</v>
      </c>
      <c r="AA3842" s="2" t="s">
        <v>119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hidden="1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3380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hidden="1" x14ac:dyDescent="0.2">
      <c r="A3844" s="2">
        <v>2026</v>
      </c>
      <c r="B3844" s="2">
        <v>5</v>
      </c>
      <c r="C3844" s="2" t="s">
        <v>3370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3227</v>
      </c>
      <c r="AA3844" s="2" t="s">
        <v>155</v>
      </c>
      <c r="AB3844" s="2" t="s">
        <v>1941</v>
      </c>
      <c r="AC3844" s="2" t="s">
        <v>152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3227</v>
      </c>
      <c r="AA3845" s="2" t="s">
        <v>46</v>
      </c>
      <c r="AB3845" s="2" t="s">
        <v>47</v>
      </c>
      <c r="AC3845" s="2" t="s">
        <v>57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3227</v>
      </c>
      <c r="AA3846" s="2" t="s">
        <v>46</v>
      </c>
      <c r="AB3846" s="2" t="s">
        <v>56</v>
      </c>
      <c r="AC3846" s="2" t="s">
        <v>57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3227</v>
      </c>
      <c r="AA3847" s="2" t="s">
        <v>46</v>
      </c>
      <c r="AB3847" s="2" t="s">
        <v>60</v>
      </c>
      <c r="AC3847" s="2" t="s">
        <v>57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3227</v>
      </c>
      <c r="AA3848" s="2" t="s">
        <v>46</v>
      </c>
      <c r="AB3848" s="2" t="s">
        <v>60</v>
      </c>
      <c r="AC3848" s="2" t="s">
        <v>57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3227</v>
      </c>
      <c r="AA3849" s="2" t="s">
        <v>46</v>
      </c>
      <c r="AB3849" s="2" t="s">
        <v>60</v>
      </c>
      <c r="AC3849" s="2" t="s">
        <v>57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3227</v>
      </c>
      <c r="AA3850" s="2" t="s">
        <v>46</v>
      </c>
      <c r="AB3850" s="2" t="s">
        <v>67</v>
      </c>
      <c r="AC3850" s="2" t="s">
        <v>57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3227</v>
      </c>
      <c r="AA3851" s="2" t="s">
        <v>75</v>
      </c>
      <c r="AB3851" s="2" t="s">
        <v>76</v>
      </c>
      <c r="AC3851" s="2" t="s">
        <v>77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3227</v>
      </c>
      <c r="AA3852" s="2" t="s">
        <v>75</v>
      </c>
      <c r="AB3852" s="2" t="s">
        <v>76</v>
      </c>
      <c r="AC3852" s="2" t="s">
        <v>77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3227</v>
      </c>
      <c r="AA3853" s="2" t="s">
        <v>75</v>
      </c>
      <c r="AB3853" s="2" t="s">
        <v>76</v>
      </c>
      <c r="AC3853" s="2" t="s">
        <v>77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3227</v>
      </c>
      <c r="AA3854" s="2" t="s">
        <v>1041</v>
      </c>
      <c r="AB3854" s="2" t="s">
        <v>1270</v>
      </c>
      <c r="AC3854" s="2" t="s">
        <v>1378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3227</v>
      </c>
      <c r="AA3855" s="2" t="s">
        <v>96</v>
      </c>
      <c r="AB3855" s="2" t="s">
        <v>76</v>
      </c>
      <c r="AC3855" s="2" t="s">
        <v>93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119</v>
      </c>
      <c r="AA3856" s="2" t="s">
        <v>2921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hidden="1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3227</v>
      </c>
      <c r="AA3857" s="2" t="s">
        <v>46</v>
      </c>
      <c r="AB3857" s="2" t="s">
        <v>56</v>
      </c>
      <c r="AC3857" s="2" t="s">
        <v>57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hidden="1" x14ac:dyDescent="0.2">
      <c r="A3858" s="2">
        <v>2026</v>
      </c>
      <c r="B3858" s="2">
        <v>5</v>
      </c>
      <c r="C3858" s="2" t="s">
        <v>3370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3369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3227</v>
      </c>
      <c r="AA3858" s="2" t="s">
        <v>46</v>
      </c>
      <c r="AB3858" s="2" t="s">
        <v>90</v>
      </c>
      <c r="AC3858" s="2" t="s">
        <v>57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3227</v>
      </c>
      <c r="AA3859" s="2" t="s">
        <v>71</v>
      </c>
      <c r="AB3859" s="2" t="s">
        <v>1600</v>
      </c>
      <c r="AC3859" s="2" t="s">
        <v>1600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3227</v>
      </c>
      <c r="AA3860" s="2" t="s">
        <v>71</v>
      </c>
      <c r="AB3860" s="2" t="s">
        <v>119</v>
      </c>
      <c r="AC3860" s="2" t="s">
        <v>119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3227</v>
      </c>
      <c r="AA3861" s="2" t="s">
        <v>46</v>
      </c>
      <c r="AB3861" s="2" t="s">
        <v>90</v>
      </c>
      <c r="AC3861" s="2" t="s">
        <v>57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3227</v>
      </c>
      <c r="AA3862" s="2" t="s">
        <v>46</v>
      </c>
      <c r="AB3862" s="2" t="s">
        <v>90</v>
      </c>
      <c r="AC3862" s="2" t="s">
        <v>57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3227</v>
      </c>
      <c r="AA3863" s="2" t="s">
        <v>46</v>
      </c>
      <c r="AB3863" s="2" t="s">
        <v>56</v>
      </c>
      <c r="AC3863" s="2" t="s">
        <v>57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3227</v>
      </c>
      <c r="AA3864" s="2" t="s">
        <v>46</v>
      </c>
      <c r="AB3864" s="2" t="s">
        <v>56</v>
      </c>
      <c r="AC3864" s="2" t="s">
        <v>57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3227</v>
      </c>
      <c r="AA3865" s="2" t="s">
        <v>46</v>
      </c>
      <c r="AB3865" s="2" t="s">
        <v>56</v>
      </c>
      <c r="AC3865" s="2" t="s">
        <v>57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hidden="1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3227</v>
      </c>
      <c r="AA3866" s="2" t="s">
        <v>46</v>
      </c>
      <c r="AB3866" s="2" t="s">
        <v>56</v>
      </c>
      <c r="AC3866" s="2" t="s">
        <v>57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hidden="1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3227</v>
      </c>
      <c r="AA3867" s="2" t="s">
        <v>46</v>
      </c>
      <c r="AB3867" s="2" t="s">
        <v>56</v>
      </c>
      <c r="AC3867" s="2" t="s">
        <v>57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hidden="1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3227</v>
      </c>
      <c r="AA3868" s="2" t="s">
        <v>46</v>
      </c>
      <c r="AB3868" s="2" t="s">
        <v>56</v>
      </c>
      <c r="AC3868" s="2" t="s">
        <v>57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hidden="1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3227</v>
      </c>
      <c r="AA3869" s="2" t="s">
        <v>46</v>
      </c>
      <c r="AB3869" s="2" t="s">
        <v>56</v>
      </c>
      <c r="AC3869" s="2" t="s">
        <v>57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hidden="1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3227</v>
      </c>
      <c r="AA3870" s="2" t="s">
        <v>46</v>
      </c>
      <c r="AB3870" s="2" t="s">
        <v>56</v>
      </c>
      <c r="AC3870" s="2" t="s">
        <v>57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hidden="1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3227</v>
      </c>
      <c r="AA3871" s="2" t="s">
        <v>46</v>
      </c>
      <c r="AB3871" s="2" t="s">
        <v>56</v>
      </c>
      <c r="AC3871" s="2" t="s">
        <v>57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hidden="1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3227</v>
      </c>
      <c r="AA3872" s="2" t="s">
        <v>46</v>
      </c>
      <c r="AB3872" s="2" t="s">
        <v>56</v>
      </c>
      <c r="AC3872" s="2" t="s">
        <v>57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hidden="1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3227</v>
      </c>
      <c r="AA3873" s="2" t="s">
        <v>46</v>
      </c>
      <c r="AB3873" s="2" t="s">
        <v>56</v>
      </c>
      <c r="AC3873" s="2" t="s">
        <v>57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hidden="1" x14ac:dyDescent="0.2">
      <c r="A3874" s="2">
        <v>2026</v>
      </c>
      <c r="B3874" s="2">
        <v>5</v>
      </c>
      <c r="C3874" s="2" t="s">
        <v>3372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3227</v>
      </c>
      <c r="AA3874" s="2" t="s">
        <v>46</v>
      </c>
      <c r="AB3874" s="2" t="s">
        <v>90</v>
      </c>
      <c r="AC3874" s="2" t="s">
        <v>57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3227</v>
      </c>
      <c r="AA3875" s="2" t="s">
        <v>46</v>
      </c>
      <c r="AB3875" s="2" t="s">
        <v>60</v>
      </c>
      <c r="AC3875" s="2" t="s">
        <v>57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3227</v>
      </c>
      <c r="AA3876" s="2" t="s">
        <v>46</v>
      </c>
      <c r="AB3876" s="2" t="s">
        <v>60</v>
      </c>
      <c r="AC3876" s="2" t="s">
        <v>57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3227</v>
      </c>
      <c r="AA3877" s="2" t="s">
        <v>46</v>
      </c>
      <c r="AB3877" s="2" t="s">
        <v>60</v>
      </c>
      <c r="AC3877" s="2" t="s">
        <v>57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hidden="1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3227</v>
      </c>
      <c r="AA3878" s="2" t="s">
        <v>46</v>
      </c>
      <c r="AB3878" s="2" t="s">
        <v>60</v>
      </c>
      <c r="AC3878" s="2" t="s">
        <v>57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3227</v>
      </c>
      <c r="AA3879" s="2" t="s">
        <v>46</v>
      </c>
      <c r="AB3879" s="2" t="s">
        <v>60</v>
      </c>
      <c r="AC3879" s="2" t="s">
        <v>57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3227</v>
      </c>
      <c r="AA3880" s="2" t="s">
        <v>46</v>
      </c>
      <c r="AB3880" s="2" t="s">
        <v>60</v>
      </c>
      <c r="AC3880" s="2" t="s">
        <v>57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hidden="1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3227</v>
      </c>
      <c r="AA3881" s="2" t="s">
        <v>46</v>
      </c>
      <c r="AB3881" s="2" t="s">
        <v>60</v>
      </c>
      <c r="AC3881" s="2" t="s">
        <v>57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hidden="1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3227</v>
      </c>
      <c r="AA3882" s="2" t="s">
        <v>46</v>
      </c>
      <c r="AB3882" s="2" t="s">
        <v>67</v>
      </c>
      <c r="AC3882" s="2" t="s">
        <v>57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3227</v>
      </c>
      <c r="AA3883" s="2" t="s">
        <v>46</v>
      </c>
      <c r="AB3883" s="2" t="s">
        <v>67</v>
      </c>
      <c r="AC3883" s="2" t="s">
        <v>57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3227</v>
      </c>
      <c r="AA3884" s="2" t="s">
        <v>87</v>
      </c>
      <c r="AB3884" s="2" t="s">
        <v>90</v>
      </c>
      <c r="AC3884" s="2" t="s">
        <v>84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hidden="1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3227</v>
      </c>
      <c r="AA3885" s="2" t="s">
        <v>71</v>
      </c>
      <c r="AB3885" s="2" t="s">
        <v>2897</v>
      </c>
      <c r="AC3885" s="2" t="s">
        <v>2897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3227</v>
      </c>
      <c r="AA3886" s="2" t="s">
        <v>46</v>
      </c>
      <c r="AB3886" s="2" t="s">
        <v>47</v>
      </c>
      <c r="AC3886" s="2" t="s">
        <v>57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3227</v>
      </c>
      <c r="AA3887" s="2" t="s">
        <v>46</v>
      </c>
      <c r="AB3887" s="2" t="s">
        <v>60</v>
      </c>
      <c r="AC3887" s="2" t="s">
        <v>57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3227</v>
      </c>
      <c r="AA3888" s="2" t="s">
        <v>46</v>
      </c>
      <c r="AB3888" s="2" t="s">
        <v>67</v>
      </c>
      <c r="AC3888" s="2" t="s">
        <v>57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78"/>
        <v>-0.2</v>
      </c>
      <c r="Z3889" s="2" t="s">
        <v>169</v>
      </c>
      <c r="AA3889" s="2" t="s">
        <v>169</v>
      </c>
      <c r="AF3889" s="2">
        <f t="shared" si="573"/>
        <v>0</v>
      </c>
      <c r="AJ3889" s="2">
        <f t="shared" si="574"/>
        <v>0</v>
      </c>
      <c r="AK3889" s="2">
        <f t="shared" si="577"/>
        <v>-1</v>
      </c>
      <c r="AL3889" s="5">
        <f t="shared" si="579"/>
        <v>-0.2</v>
      </c>
    </row>
    <row r="3890" spans="1:38" hidden="1" x14ac:dyDescent="0.2">
      <c r="A3890" s="2">
        <v>2026</v>
      </c>
      <c r="B3890" s="2">
        <v>5</v>
      </c>
      <c r="C3890" s="2" t="s">
        <v>3372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3230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57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3230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hidden="1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119</v>
      </c>
      <c r="AA3893" s="2" t="s">
        <v>3380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hidden="1" x14ac:dyDescent="0.2">
      <c r="A3894" s="2">
        <v>2026</v>
      </c>
      <c r="B3894" s="2">
        <v>5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3227</v>
      </c>
      <c r="AA3895" s="2" t="s">
        <v>75</v>
      </c>
      <c r="AB3895" s="2" t="s">
        <v>76</v>
      </c>
      <c r="AC3895" s="2" t="s">
        <v>77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3227</v>
      </c>
      <c r="AA3896" s="2" t="s">
        <v>96</v>
      </c>
      <c r="AB3896" s="2" t="s">
        <v>76</v>
      </c>
      <c r="AC3896" s="2" t="s">
        <v>93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hidden="1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3227</v>
      </c>
      <c r="AA3897" s="2" t="s">
        <v>75</v>
      </c>
      <c r="AB3897" s="2" t="s">
        <v>76</v>
      </c>
      <c r="AC3897" s="2" t="s">
        <v>77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3227</v>
      </c>
      <c r="AA3898" s="2" t="s">
        <v>96</v>
      </c>
      <c r="AB3898" s="2" t="s">
        <v>76</v>
      </c>
      <c r="AC3898" s="2" t="s">
        <v>93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hidden="1" x14ac:dyDescent="0.2">
      <c r="A3899" s="2">
        <v>2026</v>
      </c>
      <c r="B3899" s="2">
        <v>5</v>
      </c>
      <c r="C3899" s="2" t="s">
        <v>3372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3227</v>
      </c>
      <c r="AA3899" s="2" t="s">
        <v>46</v>
      </c>
      <c r="AB3899" s="2" t="s">
        <v>60</v>
      </c>
      <c r="AC3899" s="2" t="s">
        <v>57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3227</v>
      </c>
      <c r="AA3900" s="2" t="s">
        <v>46</v>
      </c>
      <c r="AB3900" s="2" t="s">
        <v>56</v>
      </c>
      <c r="AC3900" s="2" t="s">
        <v>57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3227</v>
      </c>
      <c r="AA3901" s="2" t="s">
        <v>75</v>
      </c>
      <c r="AB3901" s="2" t="s">
        <v>76</v>
      </c>
      <c r="AC3901" s="2" t="s">
        <v>77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3227</v>
      </c>
      <c r="AA3902" s="2" t="s">
        <v>75</v>
      </c>
      <c r="AB3902" s="2" t="s">
        <v>76</v>
      </c>
      <c r="AC3902" s="2" t="s">
        <v>77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3227</v>
      </c>
      <c r="AA3903" s="2" t="s">
        <v>96</v>
      </c>
      <c r="AB3903" s="2" t="s">
        <v>76</v>
      </c>
      <c r="AC3903" s="2" t="s">
        <v>93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hidden="1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3227</v>
      </c>
      <c r="AA3904" s="2" t="s">
        <v>71</v>
      </c>
      <c r="AB3904" s="2" t="s">
        <v>1600</v>
      </c>
      <c r="AC3904" s="2" t="s">
        <v>1600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3227</v>
      </c>
      <c r="AA3905" s="2" t="s">
        <v>75</v>
      </c>
      <c r="AB3905" s="2" t="s">
        <v>76</v>
      </c>
      <c r="AC3905" s="2" t="s">
        <v>77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3227</v>
      </c>
      <c r="AA3906" s="2" t="s">
        <v>96</v>
      </c>
      <c r="AB3906" s="2" t="s">
        <v>76</v>
      </c>
      <c r="AC3906" s="2" t="s">
        <v>93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hidden="1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3227</v>
      </c>
      <c r="AA3907" s="2" t="s">
        <v>46</v>
      </c>
      <c r="AB3907" s="2" t="s">
        <v>47</v>
      </c>
      <c r="AC3907" s="2" t="s">
        <v>57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3227</v>
      </c>
      <c r="AA3908" s="2" t="s">
        <v>46</v>
      </c>
      <c r="AB3908" s="2" t="s">
        <v>56</v>
      </c>
      <c r="AC3908" s="2" t="s">
        <v>57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3227</v>
      </c>
      <c r="AA3909" s="2" t="s">
        <v>46</v>
      </c>
      <c r="AB3909" s="2" t="s">
        <v>67</v>
      </c>
      <c r="AC3909" s="2" t="s">
        <v>57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117</v>
      </c>
      <c r="AA3910" s="2" t="s">
        <v>1310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hidden="1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3227</v>
      </c>
      <c r="AA3911" s="2" t="s">
        <v>46</v>
      </c>
      <c r="AB3911" s="2" t="s">
        <v>56</v>
      </c>
      <c r="AC3911" s="2" t="s">
        <v>57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3227</v>
      </c>
      <c r="AA3912" s="2" t="s">
        <v>46</v>
      </c>
      <c r="AB3912" s="2" t="s">
        <v>60</v>
      </c>
      <c r="AC3912" s="2" t="s">
        <v>57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3"/>
        <v>-0.2</v>
      </c>
      <c r="Z3913" s="2" t="s">
        <v>169</v>
      </c>
      <c r="AA3913" s="2" t="s">
        <v>169</v>
      </c>
      <c r="AF3913" s="2">
        <f t="shared" si="581"/>
        <v>0</v>
      </c>
      <c r="AJ3913" s="2">
        <f t="shared" si="582"/>
        <v>0</v>
      </c>
      <c r="AK3913" s="2">
        <f t="shared" si="580"/>
        <v>-1</v>
      </c>
      <c r="AL3913" s="5">
        <f t="shared" si="579"/>
        <v>-0.2</v>
      </c>
    </row>
    <row r="3914" spans="1:38" hidden="1" x14ac:dyDescent="0.2">
      <c r="A3914" s="2">
        <v>2026</v>
      </c>
      <c r="B3914" s="2">
        <v>5</v>
      </c>
      <c r="C3914" s="2" t="s">
        <v>3435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3227</v>
      </c>
      <c r="AA3914" s="2" t="s">
        <v>75</v>
      </c>
      <c r="AB3914" s="2" t="s">
        <v>76</v>
      </c>
      <c r="AC3914" s="2" t="s">
        <v>77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C3916" s="2" t="s">
        <v>3435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3227</v>
      </c>
      <c r="AA3916" s="2" t="s">
        <v>96</v>
      </c>
      <c r="AB3916" s="2" t="s">
        <v>76</v>
      </c>
      <c r="AC3916" s="2" t="s">
        <v>93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hidden="1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hidden="1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3227</v>
      </c>
      <c r="AA3922" s="2" t="s">
        <v>46</v>
      </c>
      <c r="AB3922" s="2" t="s">
        <v>56</v>
      </c>
      <c r="AC3922" s="2" t="s">
        <v>57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3227</v>
      </c>
      <c r="AA3923" s="2" t="s">
        <v>46</v>
      </c>
      <c r="AB3923" s="2" t="s">
        <v>90</v>
      </c>
      <c r="AC3923" s="2" t="s">
        <v>57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3227</v>
      </c>
      <c r="AA3925" s="2" t="s">
        <v>46</v>
      </c>
      <c r="AB3925" s="2" t="s">
        <v>67</v>
      </c>
      <c r="AC3925" s="2" t="s">
        <v>57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3227</v>
      </c>
      <c r="AA3926" s="2" t="s">
        <v>75</v>
      </c>
      <c r="AB3926" s="2" t="s">
        <v>76</v>
      </c>
      <c r="AC3926" s="2" t="s">
        <v>77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3227</v>
      </c>
      <c r="AA3927" s="2" t="s">
        <v>96</v>
      </c>
      <c r="AB3927" s="2" t="s">
        <v>76</v>
      </c>
      <c r="AC3927" s="2" t="s">
        <v>93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hidden="1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3227</v>
      </c>
      <c r="AA3928" s="2" t="s">
        <v>46</v>
      </c>
      <c r="AB3928" s="2" t="s">
        <v>90</v>
      </c>
      <c r="AC3928" s="2" t="s">
        <v>57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3227</v>
      </c>
      <c r="AA3929" s="2" t="s">
        <v>46</v>
      </c>
      <c r="AB3929" s="2" t="s">
        <v>90</v>
      </c>
      <c r="AC3929" s="2" t="s">
        <v>57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hidden="1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3227</v>
      </c>
      <c r="AA3930" s="2" t="s">
        <v>46</v>
      </c>
      <c r="AB3930" s="2" t="s">
        <v>47</v>
      </c>
      <c r="AC3930" s="2" t="s">
        <v>57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3227</v>
      </c>
      <c r="AA3931" s="2" t="s">
        <v>46</v>
      </c>
      <c r="AB3931" s="2" t="s">
        <v>56</v>
      </c>
      <c r="AC3931" s="2" t="s">
        <v>57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3227</v>
      </c>
      <c r="AA3932" s="2" t="s">
        <v>46</v>
      </c>
      <c r="AB3932" s="2" t="s">
        <v>60</v>
      </c>
      <c r="AC3932" s="2" t="s">
        <v>57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3227</v>
      </c>
      <c r="AA3933" s="2" t="s">
        <v>46</v>
      </c>
      <c r="AB3933" s="2" t="s">
        <v>60</v>
      </c>
      <c r="AC3933" s="2" t="s">
        <v>57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hidden="1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3227</v>
      </c>
      <c r="AA3934" s="2" t="s">
        <v>46</v>
      </c>
      <c r="AB3934" s="2" t="s">
        <v>60</v>
      </c>
      <c r="AC3934" s="2" t="s">
        <v>57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433</v>
      </c>
      <c r="E3935" s="2" t="s">
        <v>38</v>
      </c>
      <c r="F3935" s="2" t="s">
        <v>39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3227</v>
      </c>
      <c r="AA3935" s="2" t="s">
        <v>75</v>
      </c>
      <c r="AB3935" s="2" t="s">
        <v>76</v>
      </c>
      <c r="AC3935" s="2" t="s">
        <v>77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433</v>
      </c>
      <c r="E3936" s="2" t="s">
        <v>38</v>
      </c>
      <c r="F3936" s="2" t="s">
        <v>39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3227</v>
      </c>
      <c r="AA3936" s="2" t="s">
        <v>96</v>
      </c>
      <c r="AB3936" s="2" t="s">
        <v>76</v>
      </c>
      <c r="AC3936" s="2" t="s">
        <v>93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hidden="1" x14ac:dyDescent="0.2">
      <c r="A3937" s="2">
        <v>2026</v>
      </c>
      <c r="B3937" s="2">
        <v>5</v>
      </c>
      <c r="C3937" s="2" t="s">
        <v>3370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3227</v>
      </c>
      <c r="AA3937" s="2" t="s">
        <v>75</v>
      </c>
      <c r="AB3937" s="2" t="s">
        <v>76</v>
      </c>
      <c r="AC3937" s="2" t="s">
        <v>1038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hidden="1" x14ac:dyDescent="0.2">
      <c r="A3938" s="2">
        <v>2026</v>
      </c>
      <c r="B3938" s="2">
        <v>5</v>
      </c>
      <c r="C3938" s="2" t="s">
        <v>3370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3227</v>
      </c>
      <c r="AA3938" s="2" t="s">
        <v>96</v>
      </c>
      <c r="AB3938" s="2" t="s">
        <v>76</v>
      </c>
      <c r="AC3938" s="2" t="s">
        <v>93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hidden="1" x14ac:dyDescent="0.2">
      <c r="A3939" s="2">
        <v>2026</v>
      </c>
      <c r="B3939" s="2">
        <v>5</v>
      </c>
      <c r="D3939" s="2" t="s">
        <v>1901</v>
      </c>
      <c r="G3939" s="2">
        <v>505757486</v>
      </c>
      <c r="I3939" s="2" t="s">
        <v>2959</v>
      </c>
      <c r="M3939" s="2" t="s">
        <v>80</v>
      </c>
      <c r="O3939" s="2" t="s">
        <v>2960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3227</v>
      </c>
      <c r="AA3939" s="2" t="s">
        <v>75</v>
      </c>
      <c r="AB3939" s="2" t="s">
        <v>76</v>
      </c>
      <c r="AC3939" s="2" t="s">
        <v>77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1901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3227</v>
      </c>
      <c r="AA3940" s="2" t="s">
        <v>96</v>
      </c>
      <c r="AB3940" s="2" t="s">
        <v>76</v>
      </c>
      <c r="AC3940" s="2" t="s">
        <v>93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hidden="1" x14ac:dyDescent="0.2">
      <c r="A3941" s="2">
        <v>2026</v>
      </c>
      <c r="B3941" s="2">
        <v>5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1"/>
        <v>0</v>
      </c>
      <c r="AJ3941" s="2">
        <f t="shared" si="582"/>
        <v>0</v>
      </c>
    </row>
    <row r="3942" spans="1:38" hidden="1" x14ac:dyDescent="0.2">
      <c r="A3942" s="2">
        <v>2026</v>
      </c>
      <c r="B3942" s="2">
        <v>5</v>
      </c>
      <c r="D3942" s="2" t="s">
        <v>2961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2962</v>
      </c>
      <c r="J3942" s="2" t="s">
        <v>2963</v>
      </c>
      <c r="K3942" s="2">
        <v>966567958</v>
      </c>
      <c r="L3942" s="2" t="s">
        <v>344</v>
      </c>
      <c r="M3942" s="2" t="s">
        <v>80</v>
      </c>
      <c r="O3942" s="2" t="s">
        <v>2964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3227</v>
      </c>
      <c r="AA3942" s="2" t="s">
        <v>71</v>
      </c>
      <c r="AB3942" s="2" t="s">
        <v>119</v>
      </c>
      <c r="AC3942" s="2" t="s">
        <v>119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2961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2962</v>
      </c>
      <c r="J3943" s="2" t="s">
        <v>2963</v>
      </c>
      <c r="K3943" s="2">
        <v>966567958</v>
      </c>
      <c r="L3943" s="2" t="s">
        <v>344</v>
      </c>
      <c r="M3943" s="2" t="s">
        <v>80</v>
      </c>
      <c r="O3943" s="2" t="s">
        <v>2964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3227</v>
      </c>
      <c r="AA3943" s="2" t="s">
        <v>71</v>
      </c>
      <c r="AB3943" s="2" t="s">
        <v>119</v>
      </c>
      <c r="AC3943" s="2" t="s">
        <v>119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2961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2962</v>
      </c>
      <c r="J3944" s="2" t="s">
        <v>2963</v>
      </c>
      <c r="K3944" s="2">
        <v>966567958</v>
      </c>
      <c r="L3944" s="2" t="s">
        <v>344</v>
      </c>
      <c r="M3944" s="2" t="s">
        <v>80</v>
      </c>
      <c r="O3944" s="2" t="s">
        <v>2964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3227</v>
      </c>
      <c r="AA3944" s="2" t="s">
        <v>46</v>
      </c>
      <c r="AB3944" s="2" t="s">
        <v>47</v>
      </c>
      <c r="AC3944" s="2" t="s">
        <v>57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2961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2962</v>
      </c>
      <c r="J3945" s="2" t="s">
        <v>2963</v>
      </c>
      <c r="K3945" s="2">
        <v>966567958</v>
      </c>
      <c r="L3945" s="2" t="s">
        <v>344</v>
      </c>
      <c r="M3945" s="2" t="s">
        <v>80</v>
      </c>
      <c r="O3945" s="2" t="s">
        <v>2964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3227</v>
      </c>
      <c r="AA3945" s="2" t="s">
        <v>46</v>
      </c>
      <c r="AB3945" s="2" t="s">
        <v>47</v>
      </c>
      <c r="AC3945" s="2" t="s">
        <v>57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2961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2962</v>
      </c>
      <c r="J3946" s="2" t="s">
        <v>2963</v>
      </c>
      <c r="K3946" s="2">
        <v>966567958</v>
      </c>
      <c r="L3946" s="2" t="s">
        <v>344</v>
      </c>
      <c r="M3946" s="2" t="s">
        <v>80</v>
      </c>
      <c r="O3946" s="2" t="s">
        <v>2964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3227</v>
      </c>
      <c r="AA3946" s="2" t="s">
        <v>46</v>
      </c>
      <c r="AB3946" s="2" t="s">
        <v>56</v>
      </c>
      <c r="AC3946" s="2" t="s">
        <v>57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2961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2962</v>
      </c>
      <c r="J3947" s="2" t="s">
        <v>2963</v>
      </c>
      <c r="K3947" s="2">
        <v>966567958</v>
      </c>
      <c r="L3947" s="2" t="s">
        <v>344</v>
      </c>
      <c r="M3947" s="2" t="s">
        <v>80</v>
      </c>
      <c r="O3947" s="2" t="s">
        <v>2964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3227</v>
      </c>
      <c r="AA3947" s="2" t="s">
        <v>46</v>
      </c>
      <c r="AB3947" s="2" t="s">
        <v>60</v>
      </c>
      <c r="AC3947" s="2" t="s">
        <v>57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2961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2962</v>
      </c>
      <c r="J3948" s="2" t="s">
        <v>2963</v>
      </c>
      <c r="K3948" s="2">
        <v>966567958</v>
      </c>
      <c r="L3948" s="2" t="s">
        <v>344</v>
      </c>
      <c r="M3948" s="2" t="s">
        <v>80</v>
      </c>
      <c r="O3948" s="2" t="s">
        <v>2964</v>
      </c>
      <c r="P3948" s="2" t="s">
        <v>43</v>
      </c>
      <c r="Q3948" s="2" t="s">
        <v>2965</v>
      </c>
      <c r="R3948" s="2" t="s">
        <v>2966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3227</v>
      </c>
      <c r="AA3948" s="2" t="s">
        <v>46</v>
      </c>
      <c r="AB3948" s="2" t="s">
        <v>56</v>
      </c>
      <c r="AC3948" s="2" t="s">
        <v>57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2961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2962</v>
      </c>
      <c r="J3949" s="2" t="s">
        <v>2963</v>
      </c>
      <c r="K3949" s="2">
        <v>966567958</v>
      </c>
      <c r="L3949" s="2" t="s">
        <v>344</v>
      </c>
      <c r="M3949" s="2" t="s">
        <v>80</v>
      </c>
      <c r="O3949" s="2" t="s">
        <v>2964</v>
      </c>
      <c r="P3949" s="2" t="s">
        <v>43</v>
      </c>
      <c r="Q3949" s="2" t="s">
        <v>2967</v>
      </c>
      <c r="R3949" s="2" t="s">
        <v>2968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3227</v>
      </c>
      <c r="AA3949" s="2" t="s">
        <v>46</v>
      </c>
      <c r="AB3949" s="2" t="s">
        <v>56</v>
      </c>
      <c r="AC3949" s="2" t="s">
        <v>57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2969</v>
      </c>
      <c r="J3950" s="2" t="s">
        <v>2970</v>
      </c>
      <c r="K3950" s="2">
        <v>939310247</v>
      </c>
      <c r="L3950" s="2" t="s">
        <v>461</v>
      </c>
      <c r="M3950" s="2" t="s">
        <v>40</v>
      </c>
      <c r="O3950" s="2" t="s">
        <v>2971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2972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C3952" s="2" t="s">
        <v>3450</v>
      </c>
      <c r="D3952" s="2" t="s">
        <v>3448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2973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hidden="1" x14ac:dyDescent="0.2">
      <c r="A3953" s="2">
        <v>2026</v>
      </c>
      <c r="B3953" s="2">
        <v>5</v>
      </c>
      <c r="C3953" s="2" t="s">
        <v>3370</v>
      </c>
      <c r="D3953" s="2" t="s">
        <v>3449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2974</v>
      </c>
      <c r="P3953" s="2" t="s">
        <v>3230</v>
      </c>
      <c r="Q3953" s="2" t="s">
        <v>2975</v>
      </c>
      <c r="R3953" s="2" t="s">
        <v>2976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3230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3227</v>
      </c>
      <c r="AA3954" s="2" t="s">
        <v>75</v>
      </c>
      <c r="AB3954" s="2" t="s">
        <v>76</v>
      </c>
      <c r="AC3954" s="2" t="s">
        <v>77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3227</v>
      </c>
      <c r="AA3955" s="2" t="s">
        <v>96</v>
      </c>
      <c r="AB3955" s="2" t="s">
        <v>76</v>
      </c>
      <c r="AC3955" s="2" t="s">
        <v>93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hidden="1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2977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3227</v>
      </c>
      <c r="AA3956" s="2" t="s">
        <v>46</v>
      </c>
      <c r="AB3956" s="2" t="s">
        <v>47</v>
      </c>
      <c r="AC3956" s="2" t="s">
        <v>57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2977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3227</v>
      </c>
      <c r="AA3957" s="2" t="s">
        <v>46</v>
      </c>
      <c r="AB3957" s="2" t="s">
        <v>56</v>
      </c>
      <c r="AC3957" s="2" t="s">
        <v>57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hidden="1" x14ac:dyDescent="0.2">
      <c r="A3958" s="2">
        <v>2026</v>
      </c>
      <c r="B3958" s="2">
        <v>5</v>
      </c>
      <c r="C3958" s="2" t="s">
        <v>3370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2978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90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hidden="1" x14ac:dyDescent="0.2">
      <c r="A3959" s="2">
        <v>2026</v>
      </c>
      <c r="B3959" s="2">
        <v>5</v>
      </c>
      <c r="C3959" s="2" t="s">
        <v>3370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2978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3227</v>
      </c>
      <c r="AA3960" s="2" t="s">
        <v>75</v>
      </c>
      <c r="AB3960" s="2" t="s">
        <v>76</v>
      </c>
      <c r="AC3960" s="2" t="s">
        <v>77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2979</v>
      </c>
      <c r="R3961" s="2" t="s">
        <v>2980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3227</v>
      </c>
      <c r="AA3961" s="2" t="s">
        <v>75</v>
      </c>
      <c r="AB3961" s="2" t="s">
        <v>76</v>
      </c>
      <c r="AC3961" s="2" t="s">
        <v>1038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3227</v>
      </c>
      <c r="AA3962" s="2" t="s">
        <v>96</v>
      </c>
      <c r="AB3962" s="2" t="s">
        <v>76</v>
      </c>
      <c r="AC3962" s="2" t="s">
        <v>93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hidden="1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2981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119</v>
      </c>
      <c r="AA3963" s="2" t="s">
        <v>492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hidden="1" x14ac:dyDescent="0.2">
      <c r="A3964" s="2">
        <v>2026</v>
      </c>
      <c r="B3964" s="2">
        <v>5</v>
      </c>
      <c r="D3964" s="2" t="s">
        <v>2982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2983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2984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2982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2983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2984</v>
      </c>
      <c r="P3965" s="2" t="s">
        <v>114</v>
      </c>
      <c r="Q3965" s="2" t="s">
        <v>795</v>
      </c>
      <c r="R3965" s="2" t="s">
        <v>2985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90"/>
        <v>0.53594080338266381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15.209999999999999</v>
      </c>
      <c r="AL3965" s="5">
        <f t="shared" si="592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2982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2983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2984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hidden="1" x14ac:dyDescent="0.2">
      <c r="A3967" s="2">
        <v>2026</v>
      </c>
      <c r="B3967" s="2">
        <v>5</v>
      </c>
      <c r="D3967" s="2" t="s">
        <v>2982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2983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2984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hidden="1" x14ac:dyDescent="0.2">
      <c r="A3968" s="2">
        <v>2026</v>
      </c>
      <c r="B3968" s="2">
        <v>5</v>
      </c>
      <c r="D3968" s="2" t="s">
        <v>2982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2983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2984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117</v>
      </c>
      <c r="AA3968" s="2" t="s">
        <v>1310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hidden="1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2986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3227</v>
      </c>
      <c r="AA3969" s="2" t="s">
        <v>75</v>
      </c>
      <c r="AB3969" s="2" t="s">
        <v>76</v>
      </c>
      <c r="AC3969" s="2" t="s">
        <v>77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2986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3227</v>
      </c>
      <c r="AA3970" s="2" t="s">
        <v>96</v>
      </c>
      <c r="AB3970" s="2" t="s">
        <v>76</v>
      </c>
      <c r="AC3970" s="2" t="s">
        <v>93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hidden="1" x14ac:dyDescent="0.2">
      <c r="A3971" s="2">
        <v>2026</v>
      </c>
      <c r="B3971" s="2">
        <v>5</v>
      </c>
      <c r="D3971" s="2" t="s">
        <v>2987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3227</v>
      </c>
      <c r="AA3971" s="2" t="s">
        <v>75</v>
      </c>
      <c r="AB3971" s="2" t="s">
        <v>76</v>
      </c>
      <c r="AC3971" s="2" t="s">
        <v>77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2987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3227</v>
      </c>
      <c r="AA3972" s="2" t="s">
        <v>96</v>
      </c>
      <c r="AB3972" s="2" t="s">
        <v>76</v>
      </c>
      <c r="AC3972" s="2" t="s">
        <v>93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hidden="1" x14ac:dyDescent="0.2">
      <c r="A3973" s="2">
        <v>2026</v>
      </c>
      <c r="B3973" s="2">
        <v>5</v>
      </c>
      <c r="D3973" s="2" t="s">
        <v>2988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3227</v>
      </c>
      <c r="AA3973" s="2" t="s">
        <v>75</v>
      </c>
      <c r="AB3973" s="2" t="s">
        <v>76</v>
      </c>
      <c r="AC3973" s="2" t="s">
        <v>77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2988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3227</v>
      </c>
      <c r="AA3974" s="2" t="s">
        <v>96</v>
      </c>
      <c r="AB3974" s="2" t="s">
        <v>76</v>
      </c>
      <c r="AC3974" s="2" t="s">
        <v>93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hidden="1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2989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3227</v>
      </c>
      <c r="AA3975" s="2" t="s">
        <v>75</v>
      </c>
      <c r="AB3975" s="2" t="s">
        <v>76</v>
      </c>
      <c r="AC3975" s="2" t="s">
        <v>77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2989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3227</v>
      </c>
      <c r="AA3976" s="2" t="s">
        <v>96</v>
      </c>
      <c r="AB3976" s="2" t="s">
        <v>76</v>
      </c>
      <c r="AC3976" s="2" t="s">
        <v>93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hidden="1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3234</v>
      </c>
      <c r="J3977" s="2" t="s">
        <v>3235</v>
      </c>
      <c r="L3977" s="2" t="s">
        <v>571</v>
      </c>
      <c r="M3977" s="2" t="s">
        <v>80</v>
      </c>
      <c r="O3977" s="2" t="s">
        <v>3237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3227</v>
      </c>
      <c r="AA3977" s="2" t="s">
        <v>75</v>
      </c>
      <c r="AB3977" s="2" t="s">
        <v>76</v>
      </c>
      <c r="AC3977" s="2" t="s">
        <v>77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3234</v>
      </c>
      <c r="J3978" s="2" t="s">
        <v>3235</v>
      </c>
      <c r="L3978" s="2" t="s">
        <v>571</v>
      </c>
      <c r="M3978" s="2" t="s">
        <v>80</v>
      </c>
      <c r="O3978" s="2" t="s">
        <v>3237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3227</v>
      </c>
      <c r="AA3978" s="2" t="s">
        <v>96</v>
      </c>
      <c r="AB3978" s="2" t="s">
        <v>76</v>
      </c>
      <c r="AC3978" s="2" t="s">
        <v>93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hidden="1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hidden="1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hidden="1" x14ac:dyDescent="0.2">
      <c r="A3981" s="2">
        <v>2026</v>
      </c>
      <c r="B3981" s="2">
        <v>5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2990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hidden="1" x14ac:dyDescent="0.2">
      <c r="A3982" s="2">
        <v>2026</v>
      </c>
      <c r="B3982" s="2">
        <v>5</v>
      </c>
      <c r="D3982" s="2" t="s">
        <v>2049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hidden="1" x14ac:dyDescent="0.2">
      <c r="A3983" s="2">
        <v>2026</v>
      </c>
      <c r="B3983" s="2">
        <v>5</v>
      </c>
      <c r="D3983" s="2" t="s">
        <v>2049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hidden="1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3227</v>
      </c>
      <c r="AA3984" s="2" t="s">
        <v>75</v>
      </c>
      <c r="AB3984" s="2" t="s">
        <v>76</v>
      </c>
      <c r="AC3984" s="2" t="s">
        <v>77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3227</v>
      </c>
      <c r="AA3985" s="2" t="s">
        <v>75</v>
      </c>
      <c r="AB3985" s="2" t="s">
        <v>76</v>
      </c>
      <c r="AC3985" s="2" t="s">
        <v>77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3227</v>
      </c>
      <c r="AA3986" s="2" t="s">
        <v>75</v>
      </c>
      <c r="AB3986" s="2" t="s">
        <v>76</v>
      </c>
      <c r="AC3986" s="2" t="s">
        <v>77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3227</v>
      </c>
      <c r="AA3987" s="2" t="s">
        <v>96</v>
      </c>
      <c r="AB3987" s="2" t="s">
        <v>76</v>
      </c>
      <c r="AC3987" s="2" t="s">
        <v>93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hidden="1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2991</v>
      </c>
      <c r="R3988" s="2" t="s">
        <v>2992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3227</v>
      </c>
      <c r="AA3988" s="2" t="s">
        <v>75</v>
      </c>
      <c r="AB3988" s="2" t="s">
        <v>76</v>
      </c>
      <c r="AC3988" s="2" t="s">
        <v>1038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169</v>
      </c>
      <c r="AA3989" s="2" t="s">
        <v>169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3227</v>
      </c>
      <c r="AA3990" s="2" t="s">
        <v>96</v>
      </c>
      <c r="AB3990" s="2" t="s">
        <v>76</v>
      </c>
      <c r="AC3990" s="2" t="s">
        <v>93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3227</v>
      </c>
      <c r="AA3991" s="2" t="s">
        <v>75</v>
      </c>
      <c r="AB3991" s="2" t="s">
        <v>76</v>
      </c>
      <c r="AC3991" s="2" t="s">
        <v>77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3227</v>
      </c>
      <c r="AA3992" s="2" t="s">
        <v>96</v>
      </c>
      <c r="AB3992" s="2" t="s">
        <v>76</v>
      </c>
      <c r="AC3992" s="2" t="s">
        <v>93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hidden="1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3227</v>
      </c>
      <c r="AA3993" s="2" t="s">
        <v>75</v>
      </c>
      <c r="AB3993" s="2" t="s">
        <v>76</v>
      </c>
      <c r="AC3993" s="2" t="s">
        <v>77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3227</v>
      </c>
      <c r="AA3994" s="2" t="s">
        <v>96</v>
      </c>
      <c r="AB3994" s="2" t="s">
        <v>76</v>
      </c>
      <c r="AC3994" s="2" t="s">
        <v>93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hidden="1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2993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2993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6"/>
        <v>-0.2</v>
      </c>
      <c r="Z3996" s="2" t="s">
        <v>169</v>
      </c>
      <c r="AA3996" s="2" t="s">
        <v>169</v>
      </c>
      <c r="AF3996" s="2">
        <f t="shared" si="593"/>
        <v>0</v>
      </c>
      <c r="AJ3996" s="2">
        <f t="shared" si="594"/>
        <v>0</v>
      </c>
      <c r="AK3996" s="2">
        <f t="shared" si="597"/>
        <v>-1</v>
      </c>
      <c r="AL3996" s="5">
        <f t="shared" si="598"/>
        <v>-0.2</v>
      </c>
    </row>
    <row r="3997" spans="1:38" hidden="1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2994</v>
      </c>
      <c r="G3997" s="2">
        <v>517805383</v>
      </c>
      <c r="H3997" s="2" t="s">
        <v>40</v>
      </c>
      <c r="I3997" s="2" t="s">
        <v>99</v>
      </c>
      <c r="J3997" s="2" t="s">
        <v>2995</v>
      </c>
      <c r="K3997" s="2">
        <v>964651239</v>
      </c>
      <c r="L3997" s="2" t="s">
        <v>99</v>
      </c>
      <c r="M3997" s="2" t="s">
        <v>40</v>
      </c>
      <c r="O3997" s="2" t="s">
        <v>2996</v>
      </c>
      <c r="P3997" s="2" t="s">
        <v>282</v>
      </c>
      <c r="Q3997" s="2" t="s">
        <v>2997</v>
      </c>
      <c r="R3997" s="2" t="s">
        <v>2998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117</v>
      </c>
      <c r="AA3997" s="2" t="s">
        <v>181</v>
      </c>
      <c r="AB3997" s="2" t="s">
        <v>3381</v>
      </c>
      <c r="AC3997" s="2" t="s">
        <v>1327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2999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3000</v>
      </c>
      <c r="J3998" s="2" t="s">
        <v>3001</v>
      </c>
      <c r="K3998" s="2">
        <v>969030161</v>
      </c>
      <c r="L3998" s="2" t="s">
        <v>3002</v>
      </c>
      <c r="M3998" s="2" t="s">
        <v>40</v>
      </c>
      <c r="O3998" s="2" t="s">
        <v>3003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2999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3000</v>
      </c>
      <c r="J3999" s="2" t="s">
        <v>3001</v>
      </c>
      <c r="K3999" s="2">
        <v>969030161</v>
      </c>
      <c r="L3999" s="2" t="s">
        <v>3002</v>
      </c>
      <c r="M3999" s="2" t="s">
        <v>40</v>
      </c>
      <c r="O3999" s="2" t="s">
        <v>3003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3004</v>
      </c>
      <c r="L4000" s="2" t="s">
        <v>177</v>
      </c>
      <c r="M4000" s="2" t="s">
        <v>41</v>
      </c>
      <c r="O4000" s="2" t="s">
        <v>3005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3227</v>
      </c>
      <c r="AA4000" s="2" t="s">
        <v>75</v>
      </c>
      <c r="AB4000" s="2" t="s">
        <v>76</v>
      </c>
      <c r="AC4000" s="2" t="s">
        <v>77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3227</v>
      </c>
      <c r="AA4001" s="2" t="s">
        <v>96</v>
      </c>
      <c r="AB4001" s="2" t="s">
        <v>76</v>
      </c>
      <c r="AC4001" s="2" t="s">
        <v>93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hidden="1" x14ac:dyDescent="0.2">
      <c r="A4002" s="2">
        <v>2026</v>
      </c>
      <c r="B4002" s="2">
        <v>5</v>
      </c>
      <c r="D4002" s="2" t="s">
        <v>3006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3240</v>
      </c>
      <c r="L4002" s="2" t="s">
        <v>112</v>
      </c>
      <c r="M4002" s="2" t="s">
        <v>109</v>
      </c>
      <c r="O4002" s="2" t="s">
        <v>3241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3227</v>
      </c>
      <c r="AA4002" s="2" t="s">
        <v>75</v>
      </c>
      <c r="AB4002" s="2" t="s">
        <v>76</v>
      </c>
      <c r="AC4002" s="2" t="s">
        <v>77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3006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3240</v>
      </c>
      <c r="L4003" s="2" t="s">
        <v>112</v>
      </c>
      <c r="M4003" s="2" t="s">
        <v>109</v>
      </c>
      <c r="O4003" s="2" t="s">
        <v>3241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3227</v>
      </c>
      <c r="AA4003" s="2" t="s">
        <v>96</v>
      </c>
      <c r="AB4003" s="2" t="s">
        <v>76</v>
      </c>
      <c r="AC4003" s="2" t="s">
        <v>93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hidden="1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3007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3008</v>
      </c>
      <c r="R4006" s="2" t="s">
        <v>3009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104</v>
      </c>
      <c r="AA4006" s="2" t="s">
        <v>616</v>
      </c>
      <c r="AB4006" s="2" t="s">
        <v>3437</v>
      </c>
      <c r="AC4006" s="2" t="s">
        <v>114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hidden="1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3010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3227</v>
      </c>
      <c r="AA4007" s="2" t="s">
        <v>46</v>
      </c>
      <c r="AB4007" s="2" t="s">
        <v>60</v>
      </c>
      <c r="AC4007" s="2" t="s">
        <v>57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3227</v>
      </c>
      <c r="AA4008" s="2" t="s">
        <v>46</v>
      </c>
      <c r="AB4008" s="2" t="s">
        <v>60</v>
      </c>
      <c r="AC4008" s="2" t="s">
        <v>57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3227</v>
      </c>
      <c r="AA4009" s="2" t="s">
        <v>46</v>
      </c>
      <c r="AB4009" s="2" t="s">
        <v>67</v>
      </c>
      <c r="AC4009" s="2" t="s">
        <v>57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3011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3227</v>
      </c>
      <c r="AA4010" s="2" t="s">
        <v>46</v>
      </c>
      <c r="AB4010" s="2" t="s">
        <v>60</v>
      </c>
      <c r="AC4010" s="2" t="s">
        <v>57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3011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6"/>
        <v>-0.2</v>
      </c>
      <c r="Z4011" s="2" t="s">
        <v>169</v>
      </c>
      <c r="AA4011" s="2" t="s">
        <v>169</v>
      </c>
      <c r="AF4011" s="2">
        <f t="shared" si="593"/>
        <v>0</v>
      </c>
      <c r="AJ4011" s="2">
        <f t="shared" si="594"/>
        <v>0</v>
      </c>
      <c r="AK4011" s="2">
        <f t="shared" si="597"/>
        <v>-1</v>
      </c>
      <c r="AL4011" s="5">
        <f t="shared" si="598"/>
        <v>-0.2</v>
      </c>
    </row>
    <row r="4012" spans="1:38" hidden="1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3227</v>
      </c>
      <c r="AA4012" s="2" t="s">
        <v>46</v>
      </c>
      <c r="AB4012" s="2" t="s">
        <v>47</v>
      </c>
      <c r="AC4012" s="2" t="s">
        <v>57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3227</v>
      </c>
      <c r="AA4013" s="2" t="s">
        <v>46</v>
      </c>
      <c r="AB4013" s="2" t="s">
        <v>60</v>
      </c>
      <c r="AC4013" s="2" t="s">
        <v>57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3227</v>
      </c>
      <c r="AA4014" s="2" t="s">
        <v>87</v>
      </c>
      <c r="AB4014" s="2" t="s">
        <v>60</v>
      </c>
      <c r="AC4014" s="2" t="s">
        <v>84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hidden="1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hidden="1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hidden="1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119</v>
      </c>
      <c r="AA4017" s="2" t="s">
        <v>3380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hidden="1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3012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3012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hidden="1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3012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3013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3227</v>
      </c>
      <c r="AA4021" s="2" t="s">
        <v>75</v>
      </c>
      <c r="AB4021" s="2" t="s">
        <v>76</v>
      </c>
      <c r="AC4021" s="2" t="s">
        <v>77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hidden="1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3013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3227</v>
      </c>
      <c r="AA4022" s="2" t="s">
        <v>96</v>
      </c>
      <c r="AB4022" s="2" t="s">
        <v>76</v>
      </c>
      <c r="AC4022" s="2" t="s">
        <v>93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hidden="1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3227</v>
      </c>
      <c r="AA4023" s="2" t="s">
        <v>46</v>
      </c>
      <c r="AB4023" s="2" t="s">
        <v>47</v>
      </c>
      <c r="AC4023" s="2" t="s">
        <v>57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hidden="1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3227</v>
      </c>
      <c r="AA4024" s="2" t="s">
        <v>46</v>
      </c>
      <c r="AB4024" s="2" t="s">
        <v>47</v>
      </c>
      <c r="AC4024" s="2" t="s">
        <v>57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3227</v>
      </c>
      <c r="AA4025" s="2" t="s">
        <v>46</v>
      </c>
      <c r="AB4025" s="2" t="s">
        <v>56</v>
      </c>
      <c r="AC4025" s="2" t="s">
        <v>57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3014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3227</v>
      </c>
      <c r="AA4026" s="2" t="s">
        <v>46</v>
      </c>
      <c r="AB4026" s="2" t="s">
        <v>60</v>
      </c>
      <c r="AC4026" s="2" t="s">
        <v>57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3227</v>
      </c>
      <c r="AA4027" s="2" t="s">
        <v>46</v>
      </c>
      <c r="AB4027" s="2" t="s">
        <v>60</v>
      </c>
      <c r="AC4027" s="2" t="s">
        <v>57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3015</v>
      </c>
      <c r="P4028" s="2" t="s">
        <v>43</v>
      </c>
      <c r="Q4028" s="2" t="s">
        <v>3016</v>
      </c>
      <c r="R4028" s="2" t="s">
        <v>3017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3227</v>
      </c>
      <c r="AA4028" s="2" t="s">
        <v>46</v>
      </c>
      <c r="AB4028" s="2" t="s">
        <v>60</v>
      </c>
      <c r="AC4028" s="2" t="s">
        <v>57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3015</v>
      </c>
      <c r="P4029" s="2" t="s">
        <v>43</v>
      </c>
      <c r="Q4029" s="2" t="s">
        <v>3018</v>
      </c>
      <c r="R4029" s="2" t="s">
        <v>3019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3227</v>
      </c>
      <c r="AA4029" s="2" t="s">
        <v>46</v>
      </c>
      <c r="AB4029" s="2" t="s">
        <v>60</v>
      </c>
      <c r="AC4029" s="2" t="s">
        <v>57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hidden="1" x14ac:dyDescent="0.2">
      <c r="A4030" s="2">
        <v>2026</v>
      </c>
      <c r="B4030" s="2">
        <v>5</v>
      </c>
      <c r="C4030" s="2" t="s">
        <v>3450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3020</v>
      </c>
      <c r="P4030" s="2" t="s">
        <v>114</v>
      </c>
      <c r="Q4030" s="2" t="s">
        <v>3021</v>
      </c>
      <c r="R4030" s="2" t="s">
        <v>3022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hidden="1" x14ac:dyDescent="0.2">
      <c r="A4031" s="2">
        <v>2026</v>
      </c>
      <c r="B4031" s="2">
        <v>5</v>
      </c>
      <c r="C4031" s="2" t="s">
        <v>3372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3023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3024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3227</v>
      </c>
      <c r="AA4032" s="2" t="s">
        <v>75</v>
      </c>
      <c r="AB4032" s="2" t="s">
        <v>76</v>
      </c>
      <c r="AC4032" s="2" t="s">
        <v>77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3024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3227</v>
      </c>
      <c r="AA4033" s="2" t="s">
        <v>96</v>
      </c>
      <c r="AB4033" s="2" t="s">
        <v>76</v>
      </c>
      <c r="AC4033" s="2" t="s">
        <v>93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hidden="1" x14ac:dyDescent="0.2">
      <c r="A4034" s="2">
        <v>2026</v>
      </c>
      <c r="B4034" s="2">
        <v>5</v>
      </c>
      <c r="D4034" s="2" t="s">
        <v>3025</v>
      </c>
      <c r="M4034" s="2" t="s">
        <v>40</v>
      </c>
      <c r="O4034" s="2" t="s">
        <v>3026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3025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hidden="1" x14ac:dyDescent="0.2">
      <c r="A4036" s="2">
        <v>2026</v>
      </c>
      <c r="B4036" s="2">
        <v>5</v>
      </c>
      <c r="D4036" s="2" t="s">
        <v>3025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hidden="1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3027</v>
      </c>
      <c r="P4037" s="2" t="s">
        <v>72</v>
      </c>
      <c r="Q4037" s="2" t="s">
        <v>3028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3227</v>
      </c>
      <c r="AA4037" s="2" t="s">
        <v>75</v>
      </c>
      <c r="AB4037" s="2" t="s">
        <v>76</v>
      </c>
      <c r="AC4037" s="2" t="s">
        <v>77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3227</v>
      </c>
      <c r="AA4038" s="2" t="s">
        <v>75</v>
      </c>
      <c r="AB4038" s="2" t="s">
        <v>76</v>
      </c>
      <c r="AC4038" s="2" t="s">
        <v>77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3029</v>
      </c>
      <c r="R4039" s="2" t="s">
        <v>3030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3227</v>
      </c>
      <c r="AA4039" s="2" t="s">
        <v>75</v>
      </c>
      <c r="AB4039" s="2" t="s">
        <v>76</v>
      </c>
      <c r="AC4039" s="2" t="s">
        <v>1038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3227</v>
      </c>
      <c r="AA4040" s="2" t="s">
        <v>96</v>
      </c>
      <c r="AB4040" s="2" t="s">
        <v>76</v>
      </c>
      <c r="AC4040" s="2" t="s">
        <v>93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3031</v>
      </c>
      <c r="P4041" s="2" t="s">
        <v>282</v>
      </c>
      <c r="Q4041" s="2" t="s">
        <v>3032</v>
      </c>
      <c r="R4041" s="2" t="s">
        <v>3033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hidden="1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3031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3227</v>
      </c>
      <c r="AA4042" s="2" t="s">
        <v>46</v>
      </c>
      <c r="AB4042" s="2" t="s">
        <v>56</v>
      </c>
      <c r="AC4042" s="2" t="s">
        <v>57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3034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3035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hidden="1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3035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3227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3227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hidden="1" x14ac:dyDescent="0.2">
      <c r="A4048" s="8">
        <v>2026</v>
      </c>
      <c r="B4048" s="8">
        <v>6</v>
      </c>
      <c r="C4048" s="8" t="s">
        <v>3323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 t="s">
        <v>3323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X4049" s="5">
        <f t="shared" si="600"/>
        <v>1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 t="s">
        <v>3323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 t="s">
        <v>3323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3227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6">(T4053-W4053)/T4053</f>
        <v>0.36923076923076914</v>
      </c>
      <c r="Z4053" s="2" t="s">
        <v>3227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hidden="1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6"/>
        <v>0.24898499999999996</v>
      </c>
      <c r="Z4054" s="2" t="s">
        <v>3227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07">T4054-W4054</f>
        <v>4.9796999999999993</v>
      </c>
      <c r="AL4054" s="5">
        <f t="shared" ref="AL4054" si="608">(T4054-W4054)/T4054</f>
        <v>0.24898499999999996</v>
      </c>
    </row>
    <row r="4055" spans="1:38" hidden="1" x14ac:dyDescent="0.2">
      <c r="A4055" s="8">
        <v>2026</v>
      </c>
      <c r="B4055" s="8">
        <v>6</v>
      </c>
      <c r="C4055" s="8"/>
      <c r="D4055" s="2" t="s">
        <v>3101</v>
      </c>
      <c r="P4055" s="2" t="s">
        <v>1038</v>
      </c>
      <c r="Q4055" s="2" t="s">
        <v>3036</v>
      </c>
      <c r="R4055" s="2" t="s">
        <v>3037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6"/>
        <v>0.45214285714285712</v>
      </c>
      <c r="Z4055" s="2" t="s">
        <v>3227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3101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6"/>
        <v>0</v>
      </c>
      <c r="Z4056" s="2" t="s">
        <v>3227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278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6"/>
        <v>0.47404761904761905</v>
      </c>
      <c r="Z4057" s="2" t="s">
        <v>3227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09">T4057-W4057</f>
        <v>9.9550000000000001</v>
      </c>
      <c r="AL4057" s="5">
        <f t="shared" ref="AL4057" si="610">(T4057-W4057)/T4057</f>
        <v>0.47404761904761905</v>
      </c>
    </row>
    <row r="4058" spans="1:38" hidden="1" x14ac:dyDescent="0.2">
      <c r="A4058" s="8">
        <v>2026</v>
      </c>
      <c r="B4058" s="8">
        <v>6</v>
      </c>
      <c r="C4058" s="8"/>
      <c r="D4058" s="2" t="s">
        <v>278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6"/>
        <v>0.45916999999999997</v>
      </c>
      <c r="Z4058" s="2" t="s">
        <v>3227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hidden="1" x14ac:dyDescent="0.2">
      <c r="A4059" s="8">
        <v>2026</v>
      </c>
      <c r="B4059" s="8">
        <v>6</v>
      </c>
      <c r="C4059" s="8"/>
      <c r="D4059" s="2" t="s">
        <v>278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6"/>
        <v>0.46834848484848485</v>
      </c>
      <c r="Z4059" s="2" t="s">
        <v>3227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1">T4059-W4059</f>
        <v>9.2733000000000008</v>
      </c>
      <c r="AL4059" s="5">
        <f t="shared" ref="AL4059" si="612">(T4059-W4059)/T4059</f>
        <v>0.46834848484848485</v>
      </c>
    </row>
    <row r="4060" spans="1:38" hidden="1" x14ac:dyDescent="0.2">
      <c r="A4060" s="8">
        <v>2026</v>
      </c>
      <c r="B4060" s="8">
        <v>6</v>
      </c>
      <c r="C4060" s="8"/>
      <c r="D4060" s="2" t="s">
        <v>278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6"/>
        <v>0.41111111111111115</v>
      </c>
      <c r="Z4060" s="2" t="s">
        <v>3227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6"/>
        <v>0.4003181818181818</v>
      </c>
      <c r="Z4061" s="2" t="s">
        <v>3227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6"/>
        <v>0</v>
      </c>
      <c r="Z4062" s="2" t="s">
        <v>3227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6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6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6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6"/>
        <v>0.25</v>
      </c>
      <c r="Z4066" s="2" t="s">
        <v>3227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13">T4067*23%</f>
        <v>26.68</v>
      </c>
      <c r="V4067" s="10">
        <f t="shared" ref="V4067:V4075" si="614">T4067+U4067</f>
        <v>142.68</v>
      </c>
      <c r="W4067" s="2">
        <f>18.9342*S4067</f>
        <v>75.736800000000002</v>
      </c>
      <c r="X4067" s="5">
        <f t="shared" si="606"/>
        <v>0.34709655172413789</v>
      </c>
      <c r="Z4067" s="2" t="s">
        <v>3227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15">T4067-W4067</f>
        <v>40.263199999999998</v>
      </c>
      <c r="AL4067" s="5">
        <f t="shared" ref="AL4067" si="616">(T4067-W4067)/T4067</f>
        <v>0.34709655172413789</v>
      </c>
    </row>
    <row r="4068" spans="1:38" hidden="1" x14ac:dyDescent="0.2">
      <c r="A4068" s="2">
        <v>2026</v>
      </c>
      <c r="B4068" s="2">
        <v>4</v>
      </c>
      <c r="D4068" s="2" t="s">
        <v>3262</v>
      </c>
      <c r="E4068" s="2" t="s">
        <v>38</v>
      </c>
      <c r="F4068" s="2" t="s">
        <v>3420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3261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3"/>
        <v>4577</v>
      </c>
      <c r="V4068" s="2">
        <f t="shared" si="614"/>
        <v>24477</v>
      </c>
      <c r="W4068" s="2">
        <f>10699.41+285.74</f>
        <v>10985.15</v>
      </c>
      <c r="X4068" s="5">
        <f t="shared" si="606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hidden="1" x14ac:dyDescent="0.2">
      <c r="A4069" s="8">
        <v>2026</v>
      </c>
      <c r="B4069" s="8">
        <v>6</v>
      </c>
      <c r="C4069" s="8"/>
      <c r="D4069" s="2" t="s">
        <v>3258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3263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13"/>
        <v>2053.9</v>
      </c>
      <c r="V4069" s="10">
        <f t="shared" si="614"/>
        <v>10983.9</v>
      </c>
      <c r="W4069" s="2">
        <f>6348.73+221.85</f>
        <v>6570.58</v>
      </c>
      <c r="X4069" s="5">
        <f t="shared" si="606"/>
        <v>0.2642127659574468</v>
      </c>
      <c r="Z4069" s="2" t="s">
        <v>104</v>
      </c>
      <c r="AA4069" s="2" t="s">
        <v>616</v>
      </c>
      <c r="AB4069" s="2" t="s">
        <v>3264</v>
      </c>
      <c r="AC4069" s="2" t="s">
        <v>114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3258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3263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13"/>
        <v>1607.7</v>
      </c>
      <c r="V4070" s="10">
        <f t="shared" si="614"/>
        <v>8597.7000000000007</v>
      </c>
      <c r="W4070" s="2">
        <f>4893.23+171</f>
        <v>5064.2299999999996</v>
      </c>
      <c r="X4070" s="5">
        <f t="shared" si="606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17">T4070-W4070</f>
        <v>1925.7700000000004</v>
      </c>
      <c r="AL4070" s="5">
        <f t="shared" ref="AL4070:AL4075" si="618"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3105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3"/>
        <v>72.22</v>
      </c>
      <c r="V4071" s="2">
        <f t="shared" si="614"/>
        <v>386.22</v>
      </c>
      <c r="W4071" s="2">
        <f>T4071*40%</f>
        <v>125.60000000000001</v>
      </c>
      <c r="X4071" s="5">
        <f t="shared" si="606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7"/>
        <v>188.39999999999998</v>
      </c>
      <c r="AL4071" s="5">
        <f t="shared" si="618"/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3105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3"/>
        <v>50.6</v>
      </c>
      <c r="V4072" s="2">
        <f t="shared" si="614"/>
        <v>270.60000000000002</v>
      </c>
      <c r="W4072" s="2">
        <f>T4072*50%</f>
        <v>110</v>
      </c>
      <c r="X4072" s="5">
        <f t="shared" si="606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7"/>
        <v>110</v>
      </c>
      <c r="AL4072" s="5">
        <f t="shared" si="618"/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3105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3"/>
        <v>23</v>
      </c>
      <c r="V4073" s="10">
        <f t="shared" si="614"/>
        <v>123</v>
      </c>
      <c r="X4073" s="5">
        <f t="shared" si="606"/>
        <v>1</v>
      </c>
      <c r="Z4073" s="2" t="s">
        <v>119</v>
      </c>
      <c r="AA4073" s="2" t="s">
        <v>3380</v>
      </c>
      <c r="AI4073" s="2"/>
      <c r="AK4073" s="2">
        <f t="shared" si="617"/>
        <v>100</v>
      </c>
      <c r="AL4073" s="5">
        <f t="shared" si="618"/>
        <v>1</v>
      </c>
    </row>
    <row r="4074" spans="1:38" hidden="1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3038</v>
      </c>
      <c r="R4074" s="2" t="s">
        <v>3039</v>
      </c>
      <c r="S4074" s="9">
        <v>4</v>
      </c>
      <c r="T4074" s="10">
        <v>560.97</v>
      </c>
      <c r="U4074" s="2">
        <f t="shared" si="613"/>
        <v>129.0231</v>
      </c>
      <c r="V4074" s="2">
        <f t="shared" si="614"/>
        <v>689.99310000000003</v>
      </c>
      <c r="W4074" s="2">
        <f>80.93*4</f>
        <v>323.72000000000003</v>
      </c>
      <c r="X4074" s="5">
        <f t="shared" si="606"/>
        <v>0.4229281423249015</v>
      </c>
      <c r="Z4074" s="2" t="s">
        <v>3227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17"/>
        <v>237.25</v>
      </c>
      <c r="AL4074" s="5">
        <f t="shared" si="618"/>
        <v>0.4229281423249015</v>
      </c>
    </row>
    <row r="4075" spans="1:38" hidden="1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3"/>
        <v>8.2800000000000011</v>
      </c>
      <c r="V4075" s="10">
        <f t="shared" si="614"/>
        <v>44.28</v>
      </c>
      <c r="W4075" s="2">
        <f>0.8561*S4075</f>
        <v>17.122</v>
      </c>
      <c r="X4075" s="5">
        <f t="shared" si="606"/>
        <v>0.5243888888888889</v>
      </c>
      <c r="Z4075" s="2" t="s">
        <v>3227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17"/>
        <v>18.878</v>
      </c>
      <c r="AL4075" s="5">
        <f t="shared" si="618"/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3099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3099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19">T4077*23%</f>
        <v>161</v>
      </c>
      <c r="V4077" s="10">
        <f t="shared" ref="V4077:V4108" si="620">T4077+U4077</f>
        <v>861</v>
      </c>
      <c r="X4077" s="5">
        <f t="shared" ref="X4077:X4092" si="621">(T4077-W4077)/T4077</f>
        <v>1</v>
      </c>
      <c r="AI4077" s="2"/>
      <c r="AK4077" s="2">
        <f t="shared" ref="AK4077:AK4092" si="622">T4077-W4077</f>
        <v>700</v>
      </c>
      <c r="AL4077" s="5">
        <f t="shared" ref="AL4077:AL4092" si="623">(T4077-W4077)/T4077</f>
        <v>1</v>
      </c>
    </row>
    <row r="4078" spans="1:38" hidden="1" x14ac:dyDescent="0.2">
      <c r="A4078" s="8">
        <v>2026</v>
      </c>
      <c r="B4078" s="8">
        <v>6</v>
      </c>
      <c r="C4078" s="8"/>
      <c r="D4078" s="2" t="s">
        <v>3099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19"/>
        <v>2645</v>
      </c>
      <c r="V4078" s="10">
        <f t="shared" si="620"/>
        <v>14145</v>
      </c>
      <c r="W4078" s="2">
        <v>7437.5950000000003</v>
      </c>
      <c r="X4078" s="5">
        <f t="shared" si="621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2"/>
        <v>4062.4049999999997</v>
      </c>
      <c r="AL4078" s="5">
        <f t="shared" si="623"/>
        <v>0.35325260869565217</v>
      </c>
    </row>
    <row r="4079" spans="1:38" hidden="1" x14ac:dyDescent="0.2">
      <c r="A4079" s="8">
        <v>2026</v>
      </c>
      <c r="B4079" s="8">
        <v>6</v>
      </c>
      <c r="C4079" s="8" t="s">
        <v>3378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19"/>
        <v>2.4840000000000004</v>
      </c>
      <c r="V4079" s="10">
        <f t="shared" si="620"/>
        <v>13.284000000000001</v>
      </c>
      <c r="W4079" s="2">
        <v>5.23</v>
      </c>
      <c r="X4079" s="5">
        <f t="shared" si="621"/>
        <v>0.51574074074074072</v>
      </c>
      <c r="Z4079" s="2" t="s">
        <v>3227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2"/>
        <v>5.57</v>
      </c>
      <c r="AL4079" s="5">
        <f t="shared" si="623"/>
        <v>0.51574074074074072</v>
      </c>
    </row>
    <row r="4080" spans="1:38" hidden="1" x14ac:dyDescent="0.2">
      <c r="A4080" s="8">
        <v>2026</v>
      </c>
      <c r="B4080" s="8">
        <v>6</v>
      </c>
      <c r="C4080" s="8" t="s">
        <v>3378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19"/>
        <v>0.82800000000000007</v>
      </c>
      <c r="V4080" s="10">
        <f t="shared" si="620"/>
        <v>4.4279999999999999</v>
      </c>
      <c r="W4080" s="2">
        <f>0.97*S4080</f>
        <v>0.97</v>
      </c>
      <c r="X4080" s="5">
        <f t="shared" si="621"/>
        <v>0.73055555555555551</v>
      </c>
      <c r="Z4080" s="2" t="s">
        <v>3227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2"/>
        <v>2.63</v>
      </c>
      <c r="AL4080" s="5">
        <f t="shared" si="623"/>
        <v>0.73055555555555551</v>
      </c>
    </row>
    <row r="4081" spans="1:38" hidden="1" x14ac:dyDescent="0.2">
      <c r="A4081" s="8">
        <v>2026</v>
      </c>
      <c r="B4081" s="8">
        <v>6</v>
      </c>
      <c r="C4081" s="8" t="s">
        <v>3378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19"/>
        <v>4.83</v>
      </c>
      <c r="V4081" s="10">
        <f t="shared" si="620"/>
        <v>25.83</v>
      </c>
      <c r="W4081" s="2">
        <f>10.67*S4081</f>
        <v>10.67</v>
      </c>
      <c r="X4081" s="5">
        <f t="shared" si="621"/>
        <v>0.4919047619047619</v>
      </c>
      <c r="Z4081" s="2" t="s">
        <v>3227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2"/>
        <v>10.33</v>
      </c>
      <c r="AL4081" s="5">
        <f t="shared" si="623"/>
        <v>0.4919047619047619</v>
      </c>
    </row>
    <row r="4082" spans="1:38" hidden="1" x14ac:dyDescent="0.2">
      <c r="A4082" s="8">
        <v>2026</v>
      </c>
      <c r="B4082" s="8">
        <v>6</v>
      </c>
      <c r="C4082" s="8" t="s">
        <v>3378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19"/>
        <v>4.83</v>
      </c>
      <c r="V4082" s="10">
        <f t="shared" si="620"/>
        <v>25.83</v>
      </c>
      <c r="W4082" s="2">
        <f>9.3*S4082</f>
        <v>9.3000000000000007</v>
      </c>
      <c r="X4082" s="5">
        <f t="shared" si="621"/>
        <v>0.55714285714285716</v>
      </c>
      <c r="Z4082" s="2" t="s">
        <v>3227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2"/>
        <v>11.7</v>
      </c>
      <c r="AL4082" s="5">
        <f t="shared" si="623"/>
        <v>0.55714285714285716</v>
      </c>
    </row>
    <row r="4083" spans="1:38" hidden="1" x14ac:dyDescent="0.2">
      <c r="A4083" s="8">
        <v>2026</v>
      </c>
      <c r="B4083" s="8">
        <v>6</v>
      </c>
      <c r="C4083" s="8" t="s">
        <v>3378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19"/>
        <v>2.0700000000000003</v>
      </c>
      <c r="V4083" s="10">
        <f t="shared" si="620"/>
        <v>11.07</v>
      </c>
      <c r="W4083" s="2">
        <f>3.7358*S4083</f>
        <v>3.7357999999999998</v>
      </c>
      <c r="X4083" s="5">
        <f t="shared" si="621"/>
        <v>0.58491111111111116</v>
      </c>
      <c r="Z4083" s="2" t="s">
        <v>3227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2"/>
        <v>5.2642000000000007</v>
      </c>
      <c r="AL4083" s="5">
        <f t="shared" si="623"/>
        <v>0.58491111111111116</v>
      </c>
    </row>
    <row r="4084" spans="1:38" hidden="1" x14ac:dyDescent="0.2">
      <c r="A4084" s="8">
        <v>2026</v>
      </c>
      <c r="B4084" s="8">
        <v>6</v>
      </c>
      <c r="C4084" s="8" t="s">
        <v>3378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19"/>
        <v>3.3120000000000003</v>
      </c>
      <c r="V4084" s="10">
        <f t="shared" si="620"/>
        <v>17.712</v>
      </c>
      <c r="W4084" s="2">
        <v>7.2217000000000002</v>
      </c>
      <c r="X4084" s="5">
        <f t="shared" si="621"/>
        <v>0.49849305555555556</v>
      </c>
      <c r="Z4084" s="2" t="s">
        <v>3227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2"/>
        <v>7.1783000000000001</v>
      </c>
      <c r="AL4084" s="5">
        <f t="shared" si="623"/>
        <v>0.49849305555555556</v>
      </c>
    </row>
    <row r="4085" spans="1:38" hidden="1" x14ac:dyDescent="0.2">
      <c r="A4085" s="8">
        <v>2026</v>
      </c>
      <c r="B4085" s="8">
        <v>6</v>
      </c>
      <c r="C4085" s="8" t="s">
        <v>3378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19"/>
        <v>4.0019999999999998</v>
      </c>
      <c r="V4085" s="10">
        <f t="shared" si="620"/>
        <v>21.401999999999997</v>
      </c>
      <c r="W4085" s="2">
        <f>9.075*S4085</f>
        <v>9.0749999999999993</v>
      </c>
      <c r="X4085" s="5">
        <f t="shared" si="621"/>
        <v>0.47844827586206895</v>
      </c>
      <c r="Z4085" s="2" t="s">
        <v>3227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2"/>
        <v>8.3249999999999993</v>
      </c>
      <c r="AL4085" s="5">
        <f t="shared" si="623"/>
        <v>0.47844827586206895</v>
      </c>
    </row>
    <row r="4086" spans="1:38" hidden="1" x14ac:dyDescent="0.2">
      <c r="A4086" s="8">
        <v>2026</v>
      </c>
      <c r="B4086" s="8">
        <v>6</v>
      </c>
      <c r="C4086" s="8" t="s">
        <v>3378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19"/>
        <v>4.83</v>
      </c>
      <c r="V4086" s="10">
        <f t="shared" si="620"/>
        <v>25.83</v>
      </c>
      <c r="W4086" s="2">
        <f>11.045*S4086</f>
        <v>11.045</v>
      </c>
      <c r="X4086" s="5">
        <f t="shared" si="621"/>
        <v>0.47404761904761905</v>
      </c>
      <c r="Z4086" s="2" t="s">
        <v>3227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2"/>
        <v>9.9550000000000001</v>
      </c>
      <c r="AL4086" s="5">
        <f t="shared" si="623"/>
        <v>0.47404761904761905</v>
      </c>
    </row>
    <row r="4087" spans="1:38" hidden="1" x14ac:dyDescent="0.2">
      <c r="A4087" s="8">
        <v>2026</v>
      </c>
      <c r="B4087" s="8">
        <v>6</v>
      </c>
      <c r="C4087" s="8" t="s">
        <v>3378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19"/>
        <v>5.7960000000000003</v>
      </c>
      <c r="V4087" s="10">
        <f t="shared" si="620"/>
        <v>30.995999999999999</v>
      </c>
      <c r="W4087" s="2">
        <f>13.4067*S4087</f>
        <v>13.406700000000001</v>
      </c>
      <c r="X4087" s="5">
        <f t="shared" si="621"/>
        <v>0.4679880952380952</v>
      </c>
      <c r="Z4087" s="2" t="s">
        <v>3227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2"/>
        <v>11.793299999999999</v>
      </c>
      <c r="AL4087" s="5">
        <f t="shared" si="623"/>
        <v>0.4679880952380952</v>
      </c>
    </row>
    <row r="4088" spans="1:38" hidden="1" x14ac:dyDescent="0.2">
      <c r="A4088" s="8">
        <v>2026</v>
      </c>
      <c r="B4088" s="8">
        <v>6</v>
      </c>
      <c r="C4088" s="8" t="s">
        <v>3378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19"/>
        <v>6.9</v>
      </c>
      <c r="V4088" s="10">
        <f t="shared" si="620"/>
        <v>36.9</v>
      </c>
      <c r="W4088" s="2">
        <f>16.2249*S4088</f>
        <v>16.224900000000002</v>
      </c>
      <c r="X4088" s="5">
        <f t="shared" si="621"/>
        <v>0.45916999999999997</v>
      </c>
      <c r="Z4088" s="2" t="s">
        <v>3227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2"/>
        <v>13.775099999999998</v>
      </c>
      <c r="AL4088" s="5">
        <f t="shared" si="623"/>
        <v>0.45916999999999997</v>
      </c>
    </row>
    <row r="4089" spans="1:38" hidden="1" x14ac:dyDescent="0.2">
      <c r="A4089" s="8">
        <v>2026</v>
      </c>
      <c r="B4089" s="8">
        <v>6</v>
      </c>
      <c r="C4089" s="8" t="s">
        <v>3378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19"/>
        <v>4.1400000000000006</v>
      </c>
      <c r="V4089" s="10">
        <f t="shared" si="620"/>
        <v>22.14</v>
      </c>
      <c r="W4089" s="2">
        <f>9.2346*S4089</f>
        <v>9.2346000000000004</v>
      </c>
      <c r="X4089" s="5">
        <f t="shared" si="621"/>
        <v>0.48696666666666666</v>
      </c>
      <c r="Z4089" s="2" t="s">
        <v>3227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2"/>
        <v>8.7653999999999996</v>
      </c>
      <c r="AL4089" s="5">
        <f t="shared" si="623"/>
        <v>0.48696666666666666</v>
      </c>
    </row>
    <row r="4090" spans="1:38" hidden="1" x14ac:dyDescent="0.2">
      <c r="A4090" s="8">
        <v>2026</v>
      </c>
      <c r="B4090" s="8">
        <v>6</v>
      </c>
      <c r="C4090" s="8" t="s">
        <v>3378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19"/>
        <v>4.5540000000000003</v>
      </c>
      <c r="V4090" s="10">
        <f t="shared" si="620"/>
        <v>24.353999999999999</v>
      </c>
      <c r="W4090" s="2">
        <f>10.5267*S4090</f>
        <v>10.5267</v>
      </c>
      <c r="X4090" s="5">
        <f t="shared" si="621"/>
        <v>0.46834848484848485</v>
      </c>
      <c r="Z4090" s="2" t="s">
        <v>3227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2"/>
        <v>9.2733000000000008</v>
      </c>
      <c r="AL4090" s="5">
        <f t="shared" si="623"/>
        <v>0.46834848484848485</v>
      </c>
    </row>
    <row r="4091" spans="1:38" hidden="1" x14ac:dyDescent="0.2">
      <c r="A4091" s="8">
        <v>2026</v>
      </c>
      <c r="B4091" s="8">
        <v>6</v>
      </c>
      <c r="C4091" s="8" t="s">
        <v>3378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19"/>
        <v>5.2440000000000007</v>
      </c>
      <c r="V4091" s="10">
        <f t="shared" si="620"/>
        <v>28.044</v>
      </c>
      <c r="W4091" s="2">
        <f>12.2604*S4091</f>
        <v>12.260400000000001</v>
      </c>
      <c r="X4091" s="5">
        <f t="shared" si="621"/>
        <v>0.46226315789473682</v>
      </c>
      <c r="Z4091" s="2" t="s">
        <v>3227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2"/>
        <v>10.5396</v>
      </c>
      <c r="AL4091" s="5">
        <f t="shared" si="623"/>
        <v>0.46226315789473682</v>
      </c>
    </row>
    <row r="4092" spans="1:38" hidden="1" x14ac:dyDescent="0.2">
      <c r="A4092" s="8">
        <v>2026</v>
      </c>
      <c r="B4092" s="8">
        <v>6</v>
      </c>
      <c r="C4092" s="8" t="s">
        <v>3378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19"/>
        <v>5.5200000000000005</v>
      </c>
      <c r="V4092" s="10">
        <f t="shared" si="620"/>
        <v>29.52</v>
      </c>
      <c r="W4092" s="2">
        <f>12.71*S4092</f>
        <v>12.71</v>
      </c>
      <c r="X4092" s="5">
        <f t="shared" si="621"/>
        <v>0.47041666666666665</v>
      </c>
      <c r="Z4092" s="2" t="s">
        <v>3227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2"/>
        <v>11.29</v>
      </c>
      <c r="AL4092" s="5">
        <f t="shared" si="623"/>
        <v>0.47041666666666665</v>
      </c>
    </row>
    <row r="4093" spans="1:38" hidden="1" x14ac:dyDescent="0.2">
      <c r="A4093" s="8">
        <v>2026</v>
      </c>
      <c r="B4093" s="8">
        <v>6</v>
      </c>
      <c r="C4093" s="8" t="s">
        <v>3378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19"/>
        <v>0</v>
      </c>
      <c r="V4093" s="10">
        <f t="shared" si="620"/>
        <v>0</v>
      </c>
      <c r="W4093" s="2">
        <v>10.6</v>
      </c>
      <c r="X4093" s="5">
        <v>0</v>
      </c>
      <c r="Z4093" s="2" t="s">
        <v>3227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4">T4093-W4093</f>
        <v>-10.6</v>
      </c>
    </row>
    <row r="4094" spans="1:38" hidden="1" x14ac:dyDescent="0.2">
      <c r="A4094" s="8">
        <v>2026</v>
      </c>
      <c r="B4094" s="8">
        <v>6</v>
      </c>
      <c r="C4094" s="8" t="s">
        <v>3378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19"/>
        <v>3.22</v>
      </c>
      <c r="V4094" s="10">
        <f t="shared" si="62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3227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hidden="1" x14ac:dyDescent="0.2">
      <c r="A4095" s="8">
        <v>2026</v>
      </c>
      <c r="B4095" s="8">
        <v>6</v>
      </c>
      <c r="C4095" s="8" t="s">
        <v>3378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19"/>
        <v>2.99</v>
      </c>
      <c r="V4095" s="10">
        <f t="shared" si="62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3227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hidden="1" x14ac:dyDescent="0.2">
      <c r="A4096" s="8">
        <v>2026</v>
      </c>
      <c r="B4096" s="8">
        <v>6</v>
      </c>
      <c r="C4096" s="8" t="s">
        <v>3378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19"/>
        <v>3.22</v>
      </c>
      <c r="V4096" s="10">
        <f t="shared" si="62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3227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hidden="1" x14ac:dyDescent="0.2">
      <c r="A4097" s="8">
        <v>2026</v>
      </c>
      <c r="B4097" s="8">
        <v>6</v>
      </c>
      <c r="C4097" s="8" t="s">
        <v>3378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2965</v>
      </c>
      <c r="R4097" s="2" t="s">
        <v>2966</v>
      </c>
      <c r="S4097" s="9">
        <v>1</v>
      </c>
      <c r="T4097" s="10">
        <v>0</v>
      </c>
      <c r="U4097" s="2">
        <f t="shared" si="619"/>
        <v>0</v>
      </c>
      <c r="V4097" s="10">
        <f t="shared" si="620"/>
        <v>0</v>
      </c>
      <c r="W4097" s="2">
        <v>19.68</v>
      </c>
      <c r="Z4097" s="2" t="s">
        <v>3227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hidden="1" x14ac:dyDescent="0.2">
      <c r="A4098" s="8">
        <v>2026</v>
      </c>
      <c r="B4098" s="8">
        <v>6</v>
      </c>
      <c r="C4098" s="8" t="s">
        <v>3378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2967</v>
      </c>
      <c r="R4098" s="2" t="s">
        <v>2968</v>
      </c>
      <c r="S4098" s="9">
        <v>2</v>
      </c>
      <c r="T4098" s="10">
        <v>40</v>
      </c>
      <c r="U4098" s="2">
        <f t="shared" si="619"/>
        <v>9.2000000000000011</v>
      </c>
      <c r="V4098" s="10">
        <f t="shared" si="620"/>
        <v>49.2</v>
      </c>
      <c r="W4098" s="2">
        <f>11.525*S4098</f>
        <v>23.05</v>
      </c>
      <c r="X4098" s="5">
        <f t="shared" ref="X4098:X4129" si="625">(T4098-W4098)/T4098</f>
        <v>0.42374999999999996</v>
      </c>
      <c r="Z4098" s="2" t="s">
        <v>3227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26">T4098-W4098</f>
        <v>16.95</v>
      </c>
      <c r="AL4098" s="5">
        <f t="shared" ref="AL4098:AL4119" si="627">(T4098-W4098)/T4098</f>
        <v>0.42374999999999996</v>
      </c>
    </row>
    <row r="4099" spans="1:38" hidden="1" x14ac:dyDescent="0.2">
      <c r="A4099" s="8">
        <v>2026</v>
      </c>
      <c r="B4099" s="8">
        <v>6</v>
      </c>
      <c r="C4099" s="8" t="s">
        <v>3378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19"/>
        <v>0.69000000000000006</v>
      </c>
      <c r="V4099" s="10">
        <f t="shared" si="620"/>
        <v>3.69</v>
      </c>
      <c r="W4099" s="2">
        <f>0.98*S4099</f>
        <v>0.98</v>
      </c>
      <c r="X4099" s="5">
        <f t="shared" si="625"/>
        <v>0.67333333333333334</v>
      </c>
      <c r="Z4099" s="2" t="s">
        <v>3227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26"/>
        <v>2.02</v>
      </c>
      <c r="AL4099" s="5">
        <f t="shared" si="627"/>
        <v>0.67333333333333334</v>
      </c>
    </row>
    <row r="4100" spans="1:38" hidden="1" x14ac:dyDescent="0.2">
      <c r="A4100" s="8">
        <v>2026</v>
      </c>
      <c r="B4100" s="8">
        <v>6</v>
      </c>
      <c r="C4100" s="8" t="s">
        <v>3378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19"/>
        <v>4.83</v>
      </c>
      <c r="V4100" s="10">
        <f t="shared" si="620"/>
        <v>25.83</v>
      </c>
      <c r="W4100" s="2">
        <f>8*S4100</f>
        <v>8</v>
      </c>
      <c r="X4100" s="5">
        <f t="shared" si="625"/>
        <v>0.61904761904761907</v>
      </c>
      <c r="Z4100" s="2" t="s">
        <v>3227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26"/>
        <v>13</v>
      </c>
      <c r="AL4100" s="5">
        <f t="shared" si="627"/>
        <v>0.61904761904761907</v>
      </c>
    </row>
    <row r="4101" spans="1:38" hidden="1" x14ac:dyDescent="0.2">
      <c r="A4101" s="8">
        <v>2026</v>
      </c>
      <c r="B4101" s="8">
        <v>6</v>
      </c>
      <c r="C4101" s="8" t="s">
        <v>3378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19"/>
        <v>3.3120000000000003</v>
      </c>
      <c r="V4101" s="10">
        <f t="shared" si="620"/>
        <v>17.712</v>
      </c>
      <c r="W4101" s="2">
        <f>0.8561*S4101</f>
        <v>6.8487999999999998</v>
      </c>
      <c r="X4101" s="5">
        <f t="shared" si="625"/>
        <v>0.5243888888888889</v>
      </c>
      <c r="Z4101" s="2" t="s">
        <v>3227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26"/>
        <v>7.5512000000000006</v>
      </c>
      <c r="AL4101" s="5">
        <f t="shared" si="627"/>
        <v>0.5243888888888889</v>
      </c>
    </row>
    <row r="4102" spans="1:38" hidden="1" x14ac:dyDescent="0.2">
      <c r="A4102" s="8">
        <v>2026</v>
      </c>
      <c r="B4102" s="8">
        <v>6</v>
      </c>
      <c r="C4102" s="8" t="s">
        <v>3378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19"/>
        <v>2.7600000000000002</v>
      </c>
      <c r="V4102" s="10">
        <f t="shared" si="620"/>
        <v>14.76</v>
      </c>
      <c r="W4102" s="2">
        <f>1.4114*S4102</f>
        <v>5.6456</v>
      </c>
      <c r="X4102" s="5">
        <f t="shared" si="625"/>
        <v>0.5295333333333333</v>
      </c>
      <c r="Z4102" s="2" t="s">
        <v>3227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26"/>
        <v>6.3544</v>
      </c>
      <c r="AL4102" s="5">
        <f t="shared" si="627"/>
        <v>0.5295333333333333</v>
      </c>
    </row>
    <row r="4103" spans="1:38" hidden="1" x14ac:dyDescent="0.2">
      <c r="A4103" s="8">
        <v>2026</v>
      </c>
      <c r="B4103" s="8">
        <v>6</v>
      </c>
      <c r="C4103" s="8" t="s">
        <v>3378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19"/>
        <v>2.7600000000000002</v>
      </c>
      <c r="V4103" s="10">
        <f t="shared" si="620"/>
        <v>14.76</v>
      </c>
      <c r="W4103" s="2">
        <f>0.677*S4103</f>
        <v>6.7700000000000005</v>
      </c>
      <c r="X4103" s="5">
        <f t="shared" si="625"/>
        <v>0.43583333333333329</v>
      </c>
      <c r="Z4103" s="2" t="s">
        <v>3227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26"/>
        <v>5.2299999999999995</v>
      </c>
      <c r="AL4103" s="5">
        <f t="shared" si="627"/>
        <v>0.43583333333333329</v>
      </c>
    </row>
    <row r="4104" spans="1:38" hidden="1" x14ac:dyDescent="0.2">
      <c r="A4104" s="8">
        <v>2026</v>
      </c>
      <c r="B4104" s="8">
        <v>6</v>
      </c>
      <c r="C4104" s="8" t="s">
        <v>3378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19"/>
        <v>5.29</v>
      </c>
      <c r="V4104" s="10">
        <f t="shared" si="620"/>
        <v>28.29</v>
      </c>
      <c r="W4104" s="2">
        <f>15.0203*S4104</f>
        <v>15.020300000000001</v>
      </c>
      <c r="X4104" s="5">
        <f t="shared" si="625"/>
        <v>0.34694347826086952</v>
      </c>
      <c r="Z4104" s="2" t="s">
        <v>3227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26"/>
        <v>7.9796999999999993</v>
      </c>
      <c r="AL4104" s="5">
        <f t="shared" si="627"/>
        <v>0.34694347826086952</v>
      </c>
    </row>
    <row r="4105" spans="1:38" hidden="1" x14ac:dyDescent="0.2">
      <c r="A4105" s="8">
        <v>2026</v>
      </c>
      <c r="B4105" s="8">
        <v>6</v>
      </c>
      <c r="C4105" s="8" t="s">
        <v>3378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3040</v>
      </c>
      <c r="R4105" s="2" t="s">
        <v>3041</v>
      </c>
      <c r="S4105" s="9">
        <v>1</v>
      </c>
      <c r="T4105" s="10">
        <v>7.8</v>
      </c>
      <c r="U4105" s="2">
        <f t="shared" si="619"/>
        <v>1.794</v>
      </c>
      <c r="V4105" s="10">
        <f t="shared" si="620"/>
        <v>9.5939999999999994</v>
      </c>
      <c r="W4105" s="2">
        <v>5.43</v>
      </c>
      <c r="X4105" s="5">
        <f t="shared" si="625"/>
        <v>0.30384615384615388</v>
      </c>
      <c r="Z4105" s="2" t="s">
        <v>3227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26"/>
        <v>2.37</v>
      </c>
      <c r="AL4105" s="5">
        <f t="shared" si="627"/>
        <v>0.30384615384615388</v>
      </c>
    </row>
    <row r="4106" spans="1:38" hidden="1" x14ac:dyDescent="0.2">
      <c r="A4106" s="8">
        <v>2026</v>
      </c>
      <c r="B4106" s="8">
        <v>6</v>
      </c>
      <c r="C4106" s="8" t="s">
        <v>3378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19"/>
        <v>2.7600000000000002</v>
      </c>
      <c r="V4106" s="2">
        <f t="shared" si="620"/>
        <v>14.76</v>
      </c>
      <c r="X4106" s="5">
        <f t="shared" si="625"/>
        <v>1</v>
      </c>
      <c r="Z4106" s="2" t="s">
        <v>3227</v>
      </c>
      <c r="AA4106" s="2" t="s">
        <v>3379</v>
      </c>
      <c r="AI4106" s="2"/>
      <c r="AK4106" s="2">
        <f t="shared" si="626"/>
        <v>12</v>
      </c>
      <c r="AL4106" s="5">
        <f t="shared" si="627"/>
        <v>1</v>
      </c>
    </row>
    <row r="4107" spans="1:38" hidden="1" x14ac:dyDescent="0.2">
      <c r="A4107" s="8">
        <v>2026</v>
      </c>
      <c r="B4107" s="8">
        <v>6</v>
      </c>
      <c r="C4107" s="8" t="s">
        <v>3378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19"/>
        <v>2.7600000000000002</v>
      </c>
      <c r="V4107" s="2">
        <f t="shared" si="620"/>
        <v>14.76</v>
      </c>
      <c r="W4107" s="2">
        <v>6.86</v>
      </c>
      <c r="X4107" s="5">
        <f t="shared" si="625"/>
        <v>0.42833333333333329</v>
      </c>
      <c r="Z4107" s="2" t="s">
        <v>3227</v>
      </c>
      <c r="AA4107" s="2" t="s">
        <v>3379</v>
      </c>
      <c r="AB4107" s="2" t="s">
        <v>90</v>
      </c>
      <c r="AC4107" s="2" t="s">
        <v>84</v>
      </c>
      <c r="AI4107" s="2"/>
      <c r="AK4107" s="2">
        <f t="shared" si="626"/>
        <v>5.14</v>
      </c>
      <c r="AL4107" s="5">
        <f t="shared" si="627"/>
        <v>0.42833333333333329</v>
      </c>
    </row>
    <row r="4108" spans="1:38" hidden="1" x14ac:dyDescent="0.2">
      <c r="A4108" s="8">
        <v>2026</v>
      </c>
      <c r="B4108" s="8">
        <v>6</v>
      </c>
      <c r="C4108" s="8" t="s">
        <v>3378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3042</v>
      </c>
      <c r="R4108" s="2" t="s">
        <v>3043</v>
      </c>
      <c r="S4108" s="9">
        <v>1</v>
      </c>
      <c r="T4108" s="10">
        <v>3</v>
      </c>
      <c r="U4108" s="2">
        <f t="shared" si="619"/>
        <v>0.69000000000000006</v>
      </c>
      <c r="V4108" s="2">
        <f t="shared" si="620"/>
        <v>3.69</v>
      </c>
      <c r="X4108" s="5">
        <f t="shared" si="625"/>
        <v>1</v>
      </c>
      <c r="Z4108" s="2" t="s">
        <v>3227</v>
      </c>
      <c r="AA4108" s="2" t="s">
        <v>3379</v>
      </c>
      <c r="AI4108" s="2"/>
      <c r="AK4108" s="2">
        <f t="shared" si="626"/>
        <v>3</v>
      </c>
      <c r="AL4108" s="5">
        <f t="shared" si="627"/>
        <v>1</v>
      </c>
    </row>
    <row r="4109" spans="1:38" hidden="1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3044</v>
      </c>
      <c r="R4109" s="2" t="s">
        <v>3045</v>
      </c>
      <c r="S4109" s="9">
        <v>1</v>
      </c>
      <c r="T4109" s="10">
        <v>140.37</v>
      </c>
      <c r="U4109" s="2">
        <f t="shared" ref="U4109:U4140" si="628">T4109*23%</f>
        <v>32.2851</v>
      </c>
      <c r="V4109" s="10">
        <f t="shared" ref="V4109:V4140" si="629">T4109+U4109</f>
        <v>172.6551</v>
      </c>
      <c r="X4109" s="5">
        <f t="shared" si="625"/>
        <v>1</v>
      </c>
      <c r="AI4109" s="2"/>
      <c r="AK4109" s="2">
        <f t="shared" si="626"/>
        <v>140.37</v>
      </c>
      <c r="AL4109" s="5">
        <f t="shared" si="627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28"/>
        <v>76.59</v>
      </c>
      <c r="V4110" s="2">
        <f t="shared" si="629"/>
        <v>409.59000000000003</v>
      </c>
      <c r="W4110" s="2">
        <f>T4110*40%</f>
        <v>133.20000000000002</v>
      </c>
      <c r="X4110" s="5">
        <f t="shared" si="625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6"/>
        <v>199.79999999999998</v>
      </c>
      <c r="AL4110" s="5">
        <f t="shared" si="627"/>
        <v>0.6</v>
      </c>
    </row>
    <row r="4111" spans="1:38" hidden="1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28"/>
        <v>25.3</v>
      </c>
      <c r="V4111" s="2">
        <f t="shared" si="629"/>
        <v>135.30000000000001</v>
      </c>
      <c r="W4111" s="2">
        <f>T4111*50%</f>
        <v>55</v>
      </c>
      <c r="X4111" s="5">
        <f t="shared" si="625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6"/>
        <v>55</v>
      </c>
      <c r="AL4111" s="5">
        <f t="shared" si="627"/>
        <v>0.5</v>
      </c>
    </row>
    <row r="4112" spans="1:38" hidden="1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3046</v>
      </c>
      <c r="R4112" s="2" t="s">
        <v>3047</v>
      </c>
      <c r="S4112" s="9">
        <v>1</v>
      </c>
      <c r="T4112" s="10">
        <v>76.150000000000006</v>
      </c>
      <c r="U4112" s="2">
        <f t="shared" si="628"/>
        <v>17.514500000000002</v>
      </c>
      <c r="V4112" s="10">
        <f t="shared" si="629"/>
        <v>93.664500000000004</v>
      </c>
      <c r="X4112" s="5">
        <f t="shared" si="625"/>
        <v>1</v>
      </c>
      <c r="AI4112" s="2"/>
      <c r="AK4112" s="2">
        <f t="shared" si="626"/>
        <v>76.150000000000006</v>
      </c>
      <c r="AL4112" s="5">
        <f t="shared" si="627"/>
        <v>1</v>
      </c>
    </row>
    <row r="4113" spans="1:38" hidden="1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28"/>
        <v>275.72399999999999</v>
      </c>
      <c r="V4113" s="10">
        <f t="shared" si="629"/>
        <v>1474.5239999999999</v>
      </c>
      <c r="W4113" s="2">
        <f>346.57*S4113</f>
        <v>693.14</v>
      </c>
      <c r="X4113" s="5">
        <f t="shared" si="625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26"/>
        <v>505.65999999999997</v>
      </c>
      <c r="AL4113" s="5">
        <f t="shared" si="627"/>
        <v>0.42180513847180512</v>
      </c>
    </row>
    <row r="4114" spans="1:38" hidden="1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28"/>
        <v>96.367699999999999</v>
      </c>
      <c r="V4114" s="10">
        <f t="shared" si="629"/>
        <v>515.35770000000002</v>
      </c>
      <c r="X4114" s="5">
        <f t="shared" si="625"/>
        <v>1</v>
      </c>
      <c r="AI4114" s="2"/>
      <c r="AK4114" s="2">
        <f t="shared" si="626"/>
        <v>418.99</v>
      </c>
      <c r="AL4114" s="5">
        <f t="shared" si="627"/>
        <v>1</v>
      </c>
    </row>
    <row r="4115" spans="1:38" hidden="1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28"/>
        <v>30.166800000000002</v>
      </c>
      <c r="V4115" s="10">
        <f t="shared" si="629"/>
        <v>161.32679999999999</v>
      </c>
      <c r="X4115" s="5">
        <f t="shared" si="625"/>
        <v>1</v>
      </c>
      <c r="AI4115" s="2"/>
      <c r="AK4115" s="2">
        <f t="shared" si="626"/>
        <v>131.16</v>
      </c>
      <c r="AL4115" s="5">
        <f t="shared" si="627"/>
        <v>1</v>
      </c>
    </row>
    <row r="4116" spans="1:38" hidden="1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28"/>
        <v>54.74</v>
      </c>
      <c r="V4116" s="2">
        <f t="shared" si="629"/>
        <v>292.74</v>
      </c>
      <c r="W4116" s="2">
        <f>T4116*40%</f>
        <v>95.2</v>
      </c>
      <c r="X4116" s="5">
        <f t="shared" si="625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6"/>
        <v>142.80000000000001</v>
      </c>
      <c r="AL4116" s="5">
        <f t="shared" si="627"/>
        <v>0.60000000000000009</v>
      </c>
    </row>
    <row r="4117" spans="1:38" hidden="1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28"/>
        <v>12.65</v>
      </c>
      <c r="V4117" s="2">
        <f t="shared" si="629"/>
        <v>67.650000000000006</v>
      </c>
      <c r="W4117" s="2">
        <f>T4117*50%</f>
        <v>27.5</v>
      </c>
      <c r="X4117" s="5">
        <f t="shared" si="625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6"/>
        <v>27.5</v>
      </c>
      <c r="AL4117" s="5">
        <f t="shared" si="627"/>
        <v>0.5</v>
      </c>
    </row>
    <row r="4118" spans="1:38" hidden="1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3048</v>
      </c>
      <c r="R4118" s="2" t="s">
        <v>3049</v>
      </c>
      <c r="S4118" s="9">
        <v>1</v>
      </c>
      <c r="T4118" s="10">
        <v>17.5</v>
      </c>
      <c r="U4118" s="2">
        <f t="shared" si="628"/>
        <v>4.0250000000000004</v>
      </c>
      <c r="V4118" s="10">
        <f t="shared" si="629"/>
        <v>21.524999999999999</v>
      </c>
      <c r="X4118" s="5">
        <f t="shared" si="625"/>
        <v>1</v>
      </c>
      <c r="AI4118" s="2"/>
      <c r="AK4118" s="2">
        <f t="shared" si="626"/>
        <v>17.5</v>
      </c>
      <c r="AL4118" s="5">
        <f t="shared" si="627"/>
        <v>1</v>
      </c>
    </row>
    <row r="4119" spans="1:38" hidden="1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28"/>
        <v>1.84</v>
      </c>
      <c r="V4119" s="10">
        <f t="shared" si="629"/>
        <v>9.84</v>
      </c>
      <c r="W4119" s="2">
        <v>6</v>
      </c>
      <c r="X4119" s="5">
        <f t="shared" si="625"/>
        <v>0.25</v>
      </c>
      <c r="Z4119" s="2" t="s">
        <v>169</v>
      </c>
      <c r="AA4119" s="2" t="s">
        <v>169</v>
      </c>
      <c r="AI4119" s="2"/>
      <c r="AK4119" s="2">
        <f t="shared" si="626"/>
        <v>2</v>
      </c>
      <c r="AL4119" s="5">
        <f t="shared" si="627"/>
        <v>0.25</v>
      </c>
    </row>
    <row r="4120" spans="1:38" hidden="1" x14ac:dyDescent="0.2">
      <c r="A4120" s="8">
        <v>2026</v>
      </c>
      <c r="B4120" s="8">
        <v>6</v>
      </c>
      <c r="C4120" s="8"/>
      <c r="D4120" s="2" t="s">
        <v>2513</v>
      </c>
      <c r="Q4120" s="2" t="s">
        <v>2975</v>
      </c>
      <c r="R4120" s="2" t="s">
        <v>2976</v>
      </c>
      <c r="S4120" s="9">
        <v>1</v>
      </c>
      <c r="T4120" s="10">
        <v>2460</v>
      </c>
      <c r="U4120" s="2">
        <f t="shared" si="628"/>
        <v>565.80000000000007</v>
      </c>
      <c r="V4120" s="10">
        <f t="shared" si="629"/>
        <v>3025.8</v>
      </c>
      <c r="X4120" s="5">
        <f t="shared" si="625"/>
        <v>1</v>
      </c>
      <c r="Z4120" s="2" t="s">
        <v>104</v>
      </c>
      <c r="AI4120" s="2"/>
      <c r="AL4120" s="2"/>
    </row>
    <row r="4121" spans="1:38" hidden="1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3050</v>
      </c>
      <c r="R4121" s="2" t="s">
        <v>3051</v>
      </c>
      <c r="S4121" s="9">
        <v>2</v>
      </c>
      <c r="T4121" s="10">
        <v>17.8</v>
      </c>
      <c r="U4121" s="2">
        <f t="shared" si="628"/>
        <v>4.0940000000000003</v>
      </c>
      <c r="V4121" s="10">
        <f t="shared" si="629"/>
        <v>21.894000000000002</v>
      </c>
      <c r="W4121" s="2">
        <f>6.23*2</f>
        <v>12.46</v>
      </c>
      <c r="X4121" s="5">
        <f t="shared" si="625"/>
        <v>0.3</v>
      </c>
      <c r="Z4121" s="2" t="s">
        <v>3227</v>
      </c>
      <c r="AA4121" s="2" t="s">
        <v>155</v>
      </c>
      <c r="AB4121" s="2" t="s">
        <v>3403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hidden="1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28"/>
        <v>494.5</v>
      </c>
      <c r="V4122" s="10">
        <f t="shared" si="629"/>
        <v>2644.5</v>
      </c>
      <c r="X4122" s="5">
        <f t="shared" si="625"/>
        <v>1</v>
      </c>
      <c r="Z4122" s="2" t="s">
        <v>104</v>
      </c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28"/>
        <v>503.70000000000005</v>
      </c>
      <c r="V4123" s="10">
        <f t="shared" si="629"/>
        <v>2693.7</v>
      </c>
      <c r="W4123" s="2">
        <v>1578</v>
      </c>
      <c r="X4123" s="5">
        <f t="shared" si="625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hidden="1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28"/>
        <v>161.31050000000002</v>
      </c>
      <c r="V4124" s="10">
        <f t="shared" si="629"/>
        <v>862.66050000000007</v>
      </c>
      <c r="X4124" s="5">
        <f t="shared" si="625"/>
        <v>1</v>
      </c>
      <c r="Z4124" s="2" t="s">
        <v>119</v>
      </c>
      <c r="AA4124" s="2" t="s">
        <v>3380</v>
      </c>
      <c r="AI4124" s="2"/>
      <c r="AK4124" s="2">
        <f>T4124-W4124</f>
        <v>701.35</v>
      </c>
      <c r="AL4124" s="5">
        <f>(T4124-W4124)/T4124</f>
        <v>1</v>
      </c>
    </row>
    <row r="4125" spans="1:38" hidden="1" x14ac:dyDescent="0.2">
      <c r="A4125" s="8">
        <v>2026</v>
      </c>
      <c r="B4125" s="8">
        <v>6</v>
      </c>
      <c r="C4125" s="8" t="s">
        <v>3392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28"/>
        <v>52.900000000000006</v>
      </c>
      <c r="V4125" s="10">
        <f t="shared" si="629"/>
        <v>282.89999999999998</v>
      </c>
      <c r="W4125" s="2">
        <v>122.25</v>
      </c>
      <c r="X4125" s="5">
        <f t="shared" si="625"/>
        <v>0.46847826086956523</v>
      </c>
      <c r="Z4125" s="2" t="s">
        <v>3227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hidden="1" x14ac:dyDescent="0.2">
      <c r="A4126" s="8">
        <v>2026</v>
      </c>
      <c r="B4126" s="8">
        <v>6</v>
      </c>
      <c r="C4126" s="8" t="s">
        <v>3392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28"/>
        <v>0.34040000000000004</v>
      </c>
      <c r="V4126" s="10">
        <f t="shared" si="629"/>
        <v>1.8204</v>
      </c>
      <c r="W4126" s="2">
        <f>1.48*S4126</f>
        <v>1.48</v>
      </c>
      <c r="X4126" s="5">
        <f t="shared" si="625"/>
        <v>0</v>
      </c>
      <c r="Z4126" s="2" t="s">
        <v>3227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hidden="1" x14ac:dyDescent="0.2">
      <c r="A4127" s="8">
        <v>2026</v>
      </c>
      <c r="B4127" s="8">
        <v>6</v>
      </c>
      <c r="C4127" s="8"/>
      <c r="D4127" s="2" t="s">
        <v>3106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28"/>
        <v>2053.9</v>
      </c>
      <c r="V4127" s="10">
        <f t="shared" si="629"/>
        <v>10983.9</v>
      </c>
      <c r="X4127" s="5">
        <f t="shared" si="625"/>
        <v>1</v>
      </c>
      <c r="Z4127" s="2" t="s">
        <v>104</v>
      </c>
      <c r="AI4127" s="2"/>
      <c r="AL4127" s="2"/>
    </row>
    <row r="4128" spans="1:38" hidden="1" x14ac:dyDescent="0.2">
      <c r="A4128" s="8">
        <v>2026</v>
      </c>
      <c r="B4128" s="8">
        <v>6</v>
      </c>
      <c r="C4128" s="8"/>
      <c r="D4128" s="2" t="s">
        <v>3106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28"/>
        <v>1722.7</v>
      </c>
      <c r="V4128" s="10">
        <f t="shared" si="629"/>
        <v>9212.7000000000007</v>
      </c>
      <c r="X4128" s="5">
        <f t="shared" si="625"/>
        <v>1</v>
      </c>
      <c r="Z4128" s="2" t="s">
        <v>104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3482</v>
      </c>
      <c r="Q4129" s="2" t="s">
        <v>3052</v>
      </c>
      <c r="R4129" s="2" t="s">
        <v>3053</v>
      </c>
      <c r="S4129" s="9">
        <v>1</v>
      </c>
      <c r="T4129" s="10">
        <v>10</v>
      </c>
      <c r="U4129" s="2">
        <f t="shared" si="628"/>
        <v>2.3000000000000003</v>
      </c>
      <c r="V4129" s="10">
        <f t="shared" si="629"/>
        <v>12.3</v>
      </c>
      <c r="X4129" s="5">
        <f t="shared" si="625"/>
        <v>1</v>
      </c>
      <c r="Z4129" s="2" t="s">
        <v>3227</v>
      </c>
      <c r="AA4129" s="2" t="s">
        <v>87</v>
      </c>
      <c r="AB4129" s="2" t="s">
        <v>90</v>
      </c>
      <c r="AC4129" s="2" t="s">
        <v>3482</v>
      </c>
      <c r="AI4129" s="2"/>
      <c r="AK4129" s="2">
        <f t="shared" ref="AK4129:AK4140" si="630">T4129-W4129</f>
        <v>10</v>
      </c>
      <c r="AL4129" s="5">
        <f t="shared" ref="AL4129:AL4140" si="631">(T4129-W4129)/T4129</f>
        <v>1</v>
      </c>
    </row>
    <row r="4130" spans="1:38" hidden="1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28"/>
        <v>2.7600000000000002</v>
      </c>
      <c r="V4130" s="10">
        <f t="shared" si="629"/>
        <v>14.76</v>
      </c>
      <c r="X4130" s="5">
        <f t="shared" ref="X4130:X4150" si="632">(T4130-W4130)/T4130</f>
        <v>1</v>
      </c>
      <c r="Z4130" s="2" t="s">
        <v>3227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0"/>
        <v>12</v>
      </c>
      <c r="AL4130" s="5">
        <f t="shared" si="631"/>
        <v>1</v>
      </c>
    </row>
    <row r="4131" spans="1:38" hidden="1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3054</v>
      </c>
      <c r="R4131" s="2" t="s">
        <v>3055</v>
      </c>
      <c r="S4131" s="9">
        <v>2</v>
      </c>
      <c r="T4131" s="10">
        <v>4</v>
      </c>
      <c r="U4131" s="2">
        <f t="shared" si="628"/>
        <v>0.92</v>
      </c>
      <c r="V4131" s="10">
        <f t="shared" si="629"/>
        <v>4.92</v>
      </c>
      <c r="X4131" s="5">
        <f t="shared" si="632"/>
        <v>1</v>
      </c>
      <c r="Z4131" s="2" t="s">
        <v>3227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0"/>
        <v>4</v>
      </c>
      <c r="AL4131" s="5">
        <f t="shared" si="631"/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28"/>
        <v>1.1500000000000001</v>
      </c>
      <c r="V4132" s="10">
        <f t="shared" si="629"/>
        <v>6.15</v>
      </c>
      <c r="W4132" s="2">
        <v>6</v>
      </c>
      <c r="X4132" s="5">
        <f t="shared" si="632"/>
        <v>-0.2</v>
      </c>
      <c r="Z4132" s="2" t="s">
        <v>169</v>
      </c>
      <c r="AA4132" s="2" t="s">
        <v>169</v>
      </c>
      <c r="AI4132" s="2"/>
      <c r="AK4132" s="2">
        <f t="shared" si="630"/>
        <v>-1</v>
      </c>
      <c r="AL4132" s="5">
        <f t="shared" si="631"/>
        <v>-0.2</v>
      </c>
    </row>
    <row r="4133" spans="1:38" hidden="1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28"/>
        <v>11.695500000000001</v>
      </c>
      <c r="V4133" s="2">
        <f t="shared" si="629"/>
        <v>62.545500000000004</v>
      </c>
      <c r="X4133" s="5">
        <f t="shared" si="632"/>
        <v>1</v>
      </c>
      <c r="Z4133" s="2" t="s">
        <v>117</v>
      </c>
      <c r="AA4133" s="2" t="s">
        <v>1310</v>
      </c>
      <c r="AI4133" s="2"/>
      <c r="AK4133" s="2">
        <f t="shared" si="630"/>
        <v>50.85</v>
      </c>
      <c r="AL4133" s="5">
        <f t="shared" si="631"/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28"/>
        <v>50.473500000000001</v>
      </c>
      <c r="V4134" s="10">
        <f t="shared" si="629"/>
        <v>269.92349999999999</v>
      </c>
      <c r="X4134" s="5">
        <f t="shared" si="632"/>
        <v>1</v>
      </c>
      <c r="AI4134" s="2"/>
      <c r="AK4134" s="2">
        <f t="shared" si="630"/>
        <v>219.45</v>
      </c>
      <c r="AL4134" s="5">
        <f t="shared" si="631"/>
        <v>1</v>
      </c>
    </row>
    <row r="4135" spans="1:38" hidden="1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28"/>
        <v>13.8</v>
      </c>
      <c r="V4135" s="2">
        <f t="shared" si="629"/>
        <v>73.8</v>
      </c>
      <c r="W4135" s="2">
        <f>T4135*40%</f>
        <v>24</v>
      </c>
      <c r="X4135" s="5">
        <f t="shared" si="632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0"/>
        <v>36</v>
      </c>
      <c r="AL4135" s="5">
        <f t="shared" si="631"/>
        <v>0.6</v>
      </c>
    </row>
    <row r="4136" spans="1:38" hidden="1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28"/>
        <v>12.65</v>
      </c>
      <c r="V4136" s="2">
        <f t="shared" si="629"/>
        <v>67.650000000000006</v>
      </c>
      <c r="W4136" s="2">
        <f>T4136*50%</f>
        <v>27.5</v>
      </c>
      <c r="X4136" s="5">
        <f t="shared" si="632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0"/>
        <v>27.5</v>
      </c>
      <c r="AL4136" s="5">
        <f t="shared" si="631"/>
        <v>0.5</v>
      </c>
    </row>
    <row r="4137" spans="1:38" hidden="1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28"/>
        <v>51.313000000000002</v>
      </c>
      <c r="V4137" s="2">
        <f t="shared" si="629"/>
        <v>274.41300000000001</v>
      </c>
      <c r="W4137" s="2">
        <v>141.18</v>
      </c>
      <c r="X4137" s="5">
        <f t="shared" si="632"/>
        <v>0.36718960107575072</v>
      </c>
      <c r="Z4137" s="2" t="s">
        <v>3227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30"/>
        <v>81.919999999999987</v>
      </c>
      <c r="AL4137" s="5">
        <f t="shared" si="631"/>
        <v>0.36718960107575072</v>
      </c>
    </row>
    <row r="4138" spans="1:38" hidden="1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28"/>
        <v>0.34040000000000004</v>
      </c>
      <c r="V4138" s="10">
        <f t="shared" si="629"/>
        <v>1.8204</v>
      </c>
      <c r="W4138" s="2">
        <f>1.48*S4138</f>
        <v>1.48</v>
      </c>
      <c r="X4138" s="5">
        <f t="shared" si="632"/>
        <v>0</v>
      </c>
      <c r="Z4138" s="2" t="s">
        <v>3227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0"/>
        <v>0</v>
      </c>
      <c r="AL4138" s="5">
        <f t="shared" si="631"/>
        <v>0</v>
      </c>
    </row>
    <row r="4139" spans="1:38" hidden="1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28"/>
        <v>4.1400000000000006</v>
      </c>
      <c r="V4139" s="10">
        <f t="shared" si="629"/>
        <v>22.14</v>
      </c>
      <c r="W4139" s="2">
        <v>10.6</v>
      </c>
      <c r="X4139" s="5">
        <f t="shared" si="632"/>
        <v>0.41111111111111115</v>
      </c>
      <c r="Z4139" s="2" t="s">
        <v>3227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0"/>
        <v>7.4</v>
      </c>
      <c r="AL4139" s="5">
        <f t="shared" si="631"/>
        <v>0.41111111111111115</v>
      </c>
    </row>
    <row r="4140" spans="1:38" hidden="1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28"/>
        <v>4.83</v>
      </c>
      <c r="V4140" s="10">
        <f t="shared" si="629"/>
        <v>25.83</v>
      </c>
      <c r="W4140" s="2">
        <f>10.67*S4140</f>
        <v>10.67</v>
      </c>
      <c r="X4140" s="5">
        <f t="shared" si="632"/>
        <v>0.4919047619047619</v>
      </c>
      <c r="Z4140" s="2" t="s">
        <v>3227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0"/>
        <v>10.33</v>
      </c>
      <c r="AL4140" s="5">
        <f t="shared" si="631"/>
        <v>0.4919047619047619</v>
      </c>
    </row>
    <row r="4141" spans="1:38" hidden="1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33">T4141*23%</f>
        <v>52.900000000000006</v>
      </c>
      <c r="V4141" s="10">
        <f t="shared" ref="V4141:V4172" si="634">T4141+U4141</f>
        <v>282.89999999999998</v>
      </c>
      <c r="W4141" s="2">
        <f>115.92+6.06</f>
        <v>121.98</v>
      </c>
      <c r="X4141" s="5">
        <f t="shared" si="632"/>
        <v>0.46965217391304348</v>
      </c>
      <c r="Z4141" s="2" t="s">
        <v>3227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5">T4141-W4141</f>
        <v>108.02</v>
      </c>
      <c r="AL4141" s="5">
        <f t="shared" ref="AL4141:AL4150" si="636">(T4141-W4141)/T4141</f>
        <v>0.46965217391304348</v>
      </c>
    </row>
    <row r="4142" spans="1:38" hidden="1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3"/>
        <v>0.34040000000000004</v>
      </c>
      <c r="V4142" s="10">
        <f t="shared" si="634"/>
        <v>1.8204</v>
      </c>
      <c r="W4142" s="2">
        <f>1.48*S4142</f>
        <v>1.48</v>
      </c>
      <c r="X4142" s="5">
        <f t="shared" si="632"/>
        <v>0</v>
      </c>
      <c r="Z4142" s="2" t="s">
        <v>3227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5"/>
        <v>0</v>
      </c>
      <c r="AL4142" s="5">
        <f t="shared" si="636"/>
        <v>0</v>
      </c>
    </row>
    <row r="4143" spans="1:38" hidden="1" x14ac:dyDescent="0.2">
      <c r="A4143" s="8">
        <v>2026</v>
      </c>
      <c r="B4143" s="8">
        <v>6</v>
      </c>
      <c r="C4143" s="8" t="s">
        <v>3323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3056</v>
      </c>
      <c r="R4143" s="2" t="s">
        <v>207</v>
      </c>
      <c r="S4143" s="9">
        <v>1</v>
      </c>
      <c r="T4143" s="10">
        <v>400</v>
      </c>
      <c r="U4143" s="2">
        <f t="shared" si="633"/>
        <v>92</v>
      </c>
      <c r="V4143" s="10">
        <f t="shared" si="634"/>
        <v>492</v>
      </c>
      <c r="W4143" s="2">
        <f>271.66+19.93</f>
        <v>291.59000000000003</v>
      </c>
      <c r="X4143" s="5">
        <f t="shared" si="632"/>
        <v>0.2710249999999999</v>
      </c>
      <c r="Z4143" s="2" t="s">
        <v>3227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5"/>
        <v>108.40999999999997</v>
      </c>
      <c r="AL4143" s="5">
        <f t="shared" si="636"/>
        <v>0.2710249999999999</v>
      </c>
    </row>
    <row r="4144" spans="1:38" hidden="1" x14ac:dyDescent="0.2">
      <c r="A4144" s="8">
        <v>2026</v>
      </c>
      <c r="B4144" s="8">
        <v>6</v>
      </c>
      <c r="C4144" s="8" t="s">
        <v>3323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3"/>
        <v>0.34040000000000004</v>
      </c>
      <c r="V4144" s="10">
        <f t="shared" si="634"/>
        <v>1.8204</v>
      </c>
      <c r="W4144" s="2">
        <f>1.48*S4144</f>
        <v>1.48</v>
      </c>
      <c r="X4144" s="5">
        <f t="shared" si="632"/>
        <v>0</v>
      </c>
      <c r="Z4144" s="2" t="s">
        <v>3227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5"/>
        <v>0</v>
      </c>
      <c r="AL4144" s="5">
        <f t="shared" si="636"/>
        <v>0</v>
      </c>
    </row>
    <row r="4145" spans="1:38" hidden="1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3"/>
        <v>92</v>
      </c>
      <c r="V4145" s="10">
        <f t="shared" si="634"/>
        <v>492</v>
      </c>
      <c r="W4145" s="2">
        <v>290</v>
      </c>
      <c r="X4145" s="5">
        <f t="shared" si="632"/>
        <v>0.27500000000000002</v>
      </c>
      <c r="Z4145" s="2" t="s">
        <v>3227</v>
      </c>
      <c r="AA4145" s="2" t="s">
        <v>46</v>
      </c>
      <c r="AB4145" s="2" t="s">
        <v>60</v>
      </c>
      <c r="AC4145" s="2" t="s">
        <v>3332</v>
      </c>
      <c r="AI4145" s="2"/>
      <c r="AK4145" s="2">
        <f t="shared" si="635"/>
        <v>110</v>
      </c>
      <c r="AL4145" s="5">
        <f t="shared" si="636"/>
        <v>0.27500000000000002</v>
      </c>
    </row>
    <row r="4146" spans="1:38" hidden="1" x14ac:dyDescent="0.2">
      <c r="A4146" s="8">
        <v>2026</v>
      </c>
      <c r="B4146" s="8">
        <v>6</v>
      </c>
      <c r="C4146" s="8" t="s">
        <v>3294</v>
      </c>
      <c r="D4146" s="2" t="s">
        <v>3329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3169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3"/>
        <v>1285.7</v>
      </c>
      <c r="V4146" s="10">
        <f t="shared" si="634"/>
        <v>6875.7</v>
      </c>
      <c r="W4146" s="2">
        <v>4275.9799999999996</v>
      </c>
      <c r="X4146" s="5">
        <f t="shared" si="632"/>
        <v>0.23506618962432924</v>
      </c>
      <c r="Z4146" s="2" t="s">
        <v>104</v>
      </c>
      <c r="AA4146" s="2" t="s">
        <v>616</v>
      </c>
      <c r="AB4146" s="2" t="s">
        <v>3173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5"/>
        <v>1314.0200000000004</v>
      </c>
      <c r="AL4146" s="5">
        <f t="shared" si="636"/>
        <v>0.23506618962432924</v>
      </c>
    </row>
    <row r="4147" spans="1:38" hidden="1" x14ac:dyDescent="0.2">
      <c r="A4147" s="8">
        <v>2026</v>
      </c>
      <c r="B4147" s="8">
        <v>6</v>
      </c>
      <c r="C4147" s="8" t="s">
        <v>3294</v>
      </c>
      <c r="D4147" s="2" t="s">
        <v>3329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3169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3"/>
        <v>1021.2</v>
      </c>
      <c r="V4147" s="10">
        <f t="shared" si="634"/>
        <v>5461.2</v>
      </c>
      <c r="W4147" s="2">
        <v>3345.125</v>
      </c>
      <c r="X4147" s="5">
        <f t="shared" si="632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5"/>
        <v>1094.875</v>
      </c>
      <c r="AL4147" s="5">
        <f t="shared" si="636"/>
        <v>0.24659346846846847</v>
      </c>
    </row>
    <row r="4148" spans="1:38" hidden="1" x14ac:dyDescent="0.2">
      <c r="A4148" s="8">
        <v>2026</v>
      </c>
      <c r="B4148" s="8">
        <v>6</v>
      </c>
      <c r="C4148" s="8" t="s">
        <v>3294</v>
      </c>
      <c r="D4148" s="2" t="s">
        <v>3329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3169</v>
      </c>
      <c r="P4148" s="2" t="s">
        <v>1608</v>
      </c>
      <c r="Q4148" s="2" t="s">
        <v>3057</v>
      </c>
      <c r="R4148" s="2" t="s">
        <v>3058</v>
      </c>
      <c r="S4148" s="9">
        <v>2</v>
      </c>
      <c r="T4148" s="10">
        <v>10000</v>
      </c>
      <c r="U4148" s="2">
        <f t="shared" si="633"/>
        <v>2300</v>
      </c>
      <c r="V4148" s="10">
        <f t="shared" si="634"/>
        <v>12300</v>
      </c>
      <c r="W4148" s="2">
        <f>3681.98*2</f>
        <v>7363.96</v>
      </c>
      <c r="X4148" s="5">
        <f t="shared" si="632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5"/>
        <v>2636.04</v>
      </c>
      <c r="AL4148" s="5">
        <f t="shared" si="636"/>
        <v>0.263604</v>
      </c>
    </row>
    <row r="4149" spans="1:38" hidden="1" x14ac:dyDescent="0.2">
      <c r="A4149" s="8">
        <v>2026</v>
      </c>
      <c r="B4149" s="8">
        <v>6</v>
      </c>
      <c r="C4149" s="8" t="s">
        <v>3294</v>
      </c>
      <c r="D4149" s="2" t="s">
        <v>3329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3169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33"/>
        <v>602.6</v>
      </c>
      <c r="V4149" s="10">
        <f t="shared" si="634"/>
        <v>3222.6</v>
      </c>
      <c r="W4149" s="2">
        <v>1978.46</v>
      </c>
      <c r="X4149" s="5">
        <f t="shared" si="632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5"/>
        <v>641.54</v>
      </c>
      <c r="AL4149" s="5">
        <f t="shared" si="636"/>
        <v>0.24486259541984731</v>
      </c>
    </row>
    <row r="4150" spans="1:38" hidden="1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33"/>
        <v>114.77000000000001</v>
      </c>
      <c r="V4150" s="10">
        <f t="shared" si="634"/>
        <v>613.77</v>
      </c>
      <c r="W4150" s="2">
        <v>297</v>
      </c>
      <c r="X4150" s="5">
        <f t="shared" si="632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35"/>
        <v>202</v>
      </c>
      <c r="AL4150" s="5">
        <f t="shared" si="636"/>
        <v>0.40480961923847697</v>
      </c>
    </row>
    <row r="4151" spans="1:38" hidden="1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3"/>
        <v>0</v>
      </c>
      <c r="V4151" s="10">
        <f t="shared" si="634"/>
        <v>0</v>
      </c>
      <c r="W4151" s="2">
        <f>14.5099*S4151</f>
        <v>29.0198</v>
      </c>
      <c r="X4151" s="18">
        <v>-1</v>
      </c>
      <c r="Z4151" s="2" t="s">
        <v>3227</v>
      </c>
      <c r="AA4151" s="2" t="s">
        <v>46</v>
      </c>
      <c r="AB4151" s="2" t="s">
        <v>60</v>
      </c>
      <c r="AC4151" s="2" t="s">
        <v>3332</v>
      </c>
      <c r="AI4151" s="2"/>
      <c r="AK4151" s="2">
        <f>T4151+(W4151)</f>
        <v>29.0198</v>
      </c>
      <c r="AL4151" s="18">
        <v>-1</v>
      </c>
    </row>
    <row r="4152" spans="1:38" hidden="1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3"/>
        <v>0</v>
      </c>
      <c r="V4152" s="10">
        <f t="shared" si="634"/>
        <v>0</v>
      </c>
      <c r="W4152" s="2">
        <f>14.5099*S4152</f>
        <v>29.0198</v>
      </c>
      <c r="X4152" s="19">
        <v>-1</v>
      </c>
      <c r="Z4152" s="2" t="s">
        <v>3227</v>
      </c>
      <c r="AA4152" s="2" t="s">
        <v>46</v>
      </c>
      <c r="AB4152" s="2" t="s">
        <v>60</v>
      </c>
      <c r="AC4152" s="2" t="s">
        <v>3332</v>
      </c>
      <c r="AI4152" s="2"/>
      <c r="AK4152" s="2">
        <f>T4152-W4152</f>
        <v>-29.0198</v>
      </c>
      <c r="AL4152" s="19">
        <v>-1</v>
      </c>
    </row>
    <row r="4153" spans="1:38" hidden="1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3"/>
        <v>8.2800000000000011</v>
      </c>
      <c r="V4153" s="10">
        <f t="shared" si="634"/>
        <v>44.28</v>
      </c>
      <c r="W4153" s="2">
        <f>10.6*S4153</f>
        <v>21.2</v>
      </c>
      <c r="X4153" s="5">
        <f t="shared" ref="X4153:X4189" si="637">(T4153-W4153)/T4153</f>
        <v>0.41111111111111115</v>
      </c>
      <c r="Z4153" s="2" t="s">
        <v>3227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38">T4153-W4153</f>
        <v>14.8</v>
      </c>
      <c r="AL4153" s="5">
        <f t="shared" ref="AL4153" si="639">(T4153-W4153)/T4153</f>
        <v>0.41111111111111115</v>
      </c>
    </row>
    <row r="4154" spans="1:38" hidden="1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3"/>
        <v>1.84</v>
      </c>
      <c r="V4154" s="10">
        <f t="shared" si="634"/>
        <v>9.84</v>
      </c>
      <c r="W4154" s="2">
        <v>6</v>
      </c>
      <c r="X4154" s="5">
        <f t="shared" si="637"/>
        <v>0.25</v>
      </c>
      <c r="Z4154" s="2" t="s">
        <v>169</v>
      </c>
      <c r="AA4154" s="2" t="s">
        <v>169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3"/>
        <v>14.49</v>
      </c>
      <c r="V4155" s="10">
        <f t="shared" si="634"/>
        <v>77.489999999999995</v>
      </c>
      <c r="W4155" s="2">
        <f>10.67*S4155</f>
        <v>32.01</v>
      </c>
      <c r="X4155" s="5">
        <f t="shared" si="637"/>
        <v>0.49190476190476196</v>
      </c>
      <c r="Z4155" s="2" t="s">
        <v>3227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0">T4155-W4155</f>
        <v>30.990000000000002</v>
      </c>
      <c r="AL4155" s="5">
        <f t="shared" ref="AL4155:AL4172" si="641">(T4155-W4155)/T4155</f>
        <v>0.49190476190476196</v>
      </c>
    </row>
    <row r="4156" spans="1:38" hidden="1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3"/>
        <v>6.21</v>
      </c>
      <c r="V4156" s="10">
        <f t="shared" si="634"/>
        <v>33.21</v>
      </c>
      <c r="W4156" s="2">
        <f>3.7358*S4156</f>
        <v>11.2074</v>
      </c>
      <c r="X4156" s="5">
        <f t="shared" si="637"/>
        <v>0.58491111111111116</v>
      </c>
      <c r="Z4156" s="2" t="s">
        <v>3227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0"/>
        <v>15.7926</v>
      </c>
      <c r="AL4156" s="5">
        <f t="shared" si="641"/>
        <v>0.58491111111111116</v>
      </c>
    </row>
    <row r="4157" spans="1:38" hidden="1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3"/>
        <v>9.6508000000000003</v>
      </c>
      <c r="V4157" s="10">
        <f t="shared" si="634"/>
        <v>51.610799999999998</v>
      </c>
      <c r="W4157" s="2">
        <f>23.042*S4157</f>
        <v>23.042000000000002</v>
      </c>
      <c r="X4157" s="5">
        <f t="shared" si="637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0"/>
        <v>18.917999999999999</v>
      </c>
      <c r="AL4157" s="5">
        <f t="shared" si="641"/>
        <v>0.45085795996186839</v>
      </c>
    </row>
    <row r="4158" spans="1:38" hidden="1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3"/>
        <v>92</v>
      </c>
      <c r="V4158" s="10">
        <f t="shared" si="634"/>
        <v>492</v>
      </c>
      <c r="W4158" s="2">
        <f>14.5099*S4158</f>
        <v>290.19799999999998</v>
      </c>
      <c r="X4158" s="5">
        <f t="shared" si="637"/>
        <v>0.27450500000000005</v>
      </c>
      <c r="Z4158" s="2" t="s">
        <v>3227</v>
      </c>
      <c r="AA4158" s="2" t="s">
        <v>46</v>
      </c>
      <c r="AB4158" s="2" t="s">
        <v>60</v>
      </c>
      <c r="AC4158" s="2" t="s">
        <v>3332</v>
      </c>
      <c r="AI4158" s="2"/>
      <c r="AK4158" s="2">
        <f t="shared" si="640"/>
        <v>109.80200000000002</v>
      </c>
      <c r="AL4158" s="5">
        <f t="shared" si="641"/>
        <v>0.27450500000000005</v>
      </c>
    </row>
    <row r="4159" spans="1:38" hidden="1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3"/>
        <v>92</v>
      </c>
      <c r="V4159" s="10">
        <f t="shared" si="634"/>
        <v>492</v>
      </c>
      <c r="W4159" s="2">
        <f>14.5099*S4159</f>
        <v>290.19799999999998</v>
      </c>
      <c r="X4159" s="5">
        <f t="shared" si="637"/>
        <v>0.27450500000000005</v>
      </c>
      <c r="Z4159" s="2" t="s">
        <v>3227</v>
      </c>
      <c r="AA4159" s="2" t="s">
        <v>46</v>
      </c>
      <c r="AB4159" s="2" t="s">
        <v>60</v>
      </c>
      <c r="AC4159" s="2" t="s">
        <v>3332</v>
      </c>
      <c r="AI4159" s="2"/>
      <c r="AK4159" s="2">
        <f t="shared" si="640"/>
        <v>109.80200000000002</v>
      </c>
      <c r="AL4159" s="5">
        <f t="shared" si="641"/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3195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3"/>
        <v>46</v>
      </c>
      <c r="V4160" s="10">
        <f t="shared" si="634"/>
        <v>246</v>
      </c>
      <c r="W4160" s="2">
        <f>110.125+11.77</f>
        <v>121.895</v>
      </c>
      <c r="X4160" s="5">
        <f t="shared" si="637"/>
        <v>0.39052500000000001</v>
      </c>
      <c r="Z4160" s="2" t="s">
        <v>3227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2">AI4160*T4160</f>
        <v>0</v>
      </c>
      <c r="AK4160" s="2">
        <f t="shared" si="640"/>
        <v>78.105000000000004</v>
      </c>
      <c r="AL4160" s="5">
        <f t="shared" si="641"/>
        <v>0.39052500000000001</v>
      </c>
    </row>
    <row r="4161" spans="1:38" hidden="1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3"/>
        <v>0.34040000000000004</v>
      </c>
      <c r="V4161" s="10">
        <f t="shared" si="634"/>
        <v>1.8204</v>
      </c>
      <c r="W4161" s="2">
        <f>1.48*S4161</f>
        <v>1.48</v>
      </c>
      <c r="X4161" s="5">
        <f t="shared" si="637"/>
        <v>0</v>
      </c>
      <c r="Z4161" s="2" t="s">
        <v>3227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2"/>
        <v>0</v>
      </c>
      <c r="AK4161" s="2">
        <f t="shared" si="640"/>
        <v>0</v>
      </c>
      <c r="AL4161" s="5">
        <f t="shared" si="641"/>
        <v>0</v>
      </c>
    </row>
    <row r="4162" spans="1:38" hidden="1" x14ac:dyDescent="0.2">
      <c r="A4162" s="8">
        <v>2026</v>
      </c>
      <c r="B4162" s="8">
        <v>6</v>
      </c>
      <c r="C4162" s="8"/>
      <c r="D4162" s="2" t="s">
        <v>3102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3"/>
        <v>31.51</v>
      </c>
      <c r="V4162" s="2">
        <f t="shared" si="634"/>
        <v>168.51</v>
      </c>
      <c r="W4162" s="2">
        <f>T4162*40%</f>
        <v>54.800000000000004</v>
      </c>
      <c r="X4162" s="5">
        <f t="shared" si="637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2"/>
        <v>0</v>
      </c>
      <c r="AK4162" s="2">
        <f t="shared" si="640"/>
        <v>82.199999999999989</v>
      </c>
      <c r="AL4162" s="5">
        <f t="shared" si="641"/>
        <v>0.59999999999999987</v>
      </c>
    </row>
    <row r="4163" spans="1:38" hidden="1" x14ac:dyDescent="0.2">
      <c r="A4163" s="8">
        <v>2026</v>
      </c>
      <c r="B4163" s="8">
        <v>6</v>
      </c>
      <c r="C4163" s="8"/>
      <c r="D4163" s="2" t="s">
        <v>3102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3"/>
        <v>18.975000000000001</v>
      </c>
      <c r="V4163" s="2">
        <f t="shared" si="634"/>
        <v>101.47499999999999</v>
      </c>
      <c r="W4163" s="2">
        <f>T4163*50%</f>
        <v>41.25</v>
      </c>
      <c r="X4163" s="5">
        <f t="shared" si="637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2"/>
        <v>0</v>
      </c>
      <c r="AK4163" s="2">
        <f t="shared" si="640"/>
        <v>41.25</v>
      </c>
      <c r="AL4163" s="5">
        <f t="shared" si="641"/>
        <v>0.5</v>
      </c>
    </row>
    <row r="4164" spans="1:38" hidden="1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3"/>
        <v>62.1</v>
      </c>
      <c r="V4164" s="10">
        <f t="shared" si="634"/>
        <v>332.1</v>
      </c>
      <c r="W4164" s="2">
        <v>139.46</v>
      </c>
      <c r="X4164" s="5">
        <f t="shared" si="637"/>
        <v>0.48348148148148146</v>
      </c>
      <c r="Z4164" s="2" t="s">
        <v>3227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2"/>
        <v>0</v>
      </c>
      <c r="AK4164" s="2">
        <f t="shared" si="640"/>
        <v>130.54</v>
      </c>
      <c r="AL4164" s="5">
        <f t="shared" si="641"/>
        <v>0.48348148148148146</v>
      </c>
    </row>
    <row r="4165" spans="1:38" hidden="1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3"/>
        <v>0.34040000000000004</v>
      </c>
      <c r="V4165" s="10">
        <f t="shared" si="634"/>
        <v>1.8204</v>
      </c>
      <c r="W4165" s="2">
        <f>1.48*S4165</f>
        <v>1.48</v>
      </c>
      <c r="X4165" s="5">
        <f t="shared" si="637"/>
        <v>0</v>
      </c>
      <c r="Z4165" s="2" t="s">
        <v>3227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2"/>
        <v>0</v>
      </c>
      <c r="AK4165" s="2">
        <f t="shared" si="640"/>
        <v>0</v>
      </c>
      <c r="AL4165" s="5">
        <f t="shared" si="641"/>
        <v>0</v>
      </c>
    </row>
    <row r="4166" spans="1:38" hidden="1" x14ac:dyDescent="0.2">
      <c r="A4166" s="8">
        <v>2026</v>
      </c>
      <c r="B4166" s="8">
        <v>6</v>
      </c>
      <c r="C4166" s="8"/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3"/>
        <v>30.985600000000002</v>
      </c>
      <c r="V4166" s="10">
        <f t="shared" si="634"/>
        <v>165.7056</v>
      </c>
      <c r="X4166" s="5">
        <f t="shared" si="637"/>
        <v>1</v>
      </c>
      <c r="AI4166" s="2"/>
      <c r="AK4166" s="2">
        <f t="shared" si="640"/>
        <v>134.72</v>
      </c>
      <c r="AL4166" s="5">
        <f t="shared" si="641"/>
        <v>1</v>
      </c>
    </row>
    <row r="4167" spans="1:38" hidden="1" x14ac:dyDescent="0.2">
      <c r="A4167" s="8">
        <v>2026</v>
      </c>
      <c r="B4167" s="8">
        <v>6</v>
      </c>
      <c r="C4167" s="8"/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3"/>
        <v>138.345</v>
      </c>
      <c r="V4167" s="2">
        <f t="shared" si="634"/>
        <v>739.84500000000003</v>
      </c>
      <c r="W4167" s="2">
        <f>T4167*40%</f>
        <v>240.60000000000002</v>
      </c>
      <c r="X4167" s="5">
        <f t="shared" si="637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0"/>
        <v>360.9</v>
      </c>
      <c r="AL4167" s="5">
        <f t="shared" si="641"/>
        <v>0.6</v>
      </c>
    </row>
    <row r="4168" spans="1:38" hidden="1" x14ac:dyDescent="0.2">
      <c r="A4168" s="8">
        <v>2026</v>
      </c>
      <c r="B4168" s="8">
        <v>6</v>
      </c>
      <c r="C4168" s="8"/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3"/>
        <v>85.387500000000003</v>
      </c>
      <c r="V4168" s="2">
        <f t="shared" si="634"/>
        <v>456.63749999999999</v>
      </c>
      <c r="W4168" s="2">
        <f>T4168*50%</f>
        <v>185.625</v>
      </c>
      <c r="X4168" s="5">
        <f t="shared" si="637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0"/>
        <v>185.625</v>
      </c>
      <c r="AL4168" s="5">
        <f t="shared" si="641"/>
        <v>0.5</v>
      </c>
    </row>
    <row r="4169" spans="1:38" hidden="1" x14ac:dyDescent="0.2">
      <c r="A4169" s="8">
        <v>2026</v>
      </c>
      <c r="B4169" s="8">
        <v>6</v>
      </c>
      <c r="C4169" s="8"/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3"/>
        <v>6.21</v>
      </c>
      <c r="V4169" s="10">
        <f t="shared" si="634"/>
        <v>33.21</v>
      </c>
      <c r="X4169" s="5">
        <f t="shared" si="637"/>
        <v>1</v>
      </c>
      <c r="Z4169" s="2" t="s">
        <v>119</v>
      </c>
      <c r="AA4169" s="2" t="s">
        <v>3380</v>
      </c>
      <c r="AI4169" s="2"/>
      <c r="AK4169" s="2">
        <f t="shared" si="640"/>
        <v>27</v>
      </c>
      <c r="AL4169" s="5">
        <f t="shared" si="641"/>
        <v>1</v>
      </c>
    </row>
    <row r="4170" spans="1:38" hidden="1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3"/>
        <v>44.160000000000004</v>
      </c>
      <c r="V4170" s="10">
        <f t="shared" si="634"/>
        <v>236.16</v>
      </c>
      <c r="W4170" s="2">
        <f>14.5099*S4170</f>
        <v>116.0792</v>
      </c>
      <c r="X4170" s="5">
        <f t="shared" si="637"/>
        <v>0.39542083333333333</v>
      </c>
      <c r="Z4170" s="2" t="s">
        <v>3227</v>
      </c>
      <c r="AA4170" s="2" t="s">
        <v>46</v>
      </c>
      <c r="AB4170" s="2" t="s">
        <v>60</v>
      </c>
      <c r="AC4170" s="2" t="s">
        <v>3332</v>
      </c>
      <c r="AI4170" s="2"/>
      <c r="AK4170" s="2">
        <f t="shared" si="640"/>
        <v>75.9208</v>
      </c>
      <c r="AL4170" s="5">
        <f t="shared" si="641"/>
        <v>0.39542083333333333</v>
      </c>
    </row>
    <row r="4171" spans="1:38" hidden="1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3"/>
        <v>16.100000000000001</v>
      </c>
      <c r="V4171" s="10">
        <f t="shared" si="634"/>
        <v>86.1</v>
      </c>
      <c r="W4171" s="2">
        <f>0.0914*S4171</f>
        <v>45.699999999999996</v>
      </c>
      <c r="X4171" s="5">
        <f t="shared" si="637"/>
        <v>0.3471428571428572</v>
      </c>
      <c r="Z4171" s="2" t="s">
        <v>3227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0"/>
        <v>24.300000000000004</v>
      </c>
      <c r="AL4171" s="5">
        <f t="shared" si="641"/>
        <v>0.3471428571428572</v>
      </c>
    </row>
    <row r="4172" spans="1:38" hidden="1" x14ac:dyDescent="0.2">
      <c r="A4172" s="8">
        <v>2026</v>
      </c>
      <c r="B4172" s="8">
        <v>6</v>
      </c>
      <c r="C4172" s="8"/>
      <c r="D4172" s="2" t="s">
        <v>2143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3"/>
        <v>46</v>
      </c>
      <c r="V4172" s="10">
        <f t="shared" si="634"/>
        <v>246</v>
      </c>
      <c r="W4172" s="2">
        <v>120.636</v>
      </c>
      <c r="X4172" s="5">
        <f t="shared" si="637"/>
        <v>0.39682000000000001</v>
      </c>
      <c r="Z4172" s="2" t="s">
        <v>3227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0"/>
        <v>79.364000000000004</v>
      </c>
      <c r="AL4172" s="5">
        <f t="shared" si="641"/>
        <v>0.39682000000000001</v>
      </c>
    </row>
    <row r="4173" spans="1:38" hidden="1" x14ac:dyDescent="0.2">
      <c r="A4173" s="8">
        <v>2026</v>
      </c>
      <c r="B4173" s="8">
        <v>6</v>
      </c>
      <c r="C4173" s="8"/>
      <c r="D4173" s="2" t="s">
        <v>2143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3">T4173*23%</f>
        <v>6.9</v>
      </c>
      <c r="V4173" s="10">
        <f t="shared" ref="V4173:V4174" si="644">T4173+U4173</f>
        <v>36.9</v>
      </c>
      <c r="W4173" s="2">
        <v>28</v>
      </c>
      <c r="X4173" s="5">
        <f t="shared" si="637"/>
        <v>6.6666666666666666E-2</v>
      </c>
      <c r="Z4173" s="2" t="s">
        <v>169</v>
      </c>
      <c r="AA4173" s="2" t="s">
        <v>169</v>
      </c>
      <c r="AI4173" s="2"/>
      <c r="AL4173" s="2"/>
    </row>
    <row r="4174" spans="1:38" hidden="1" x14ac:dyDescent="0.2">
      <c r="A4174" s="8">
        <v>2026</v>
      </c>
      <c r="B4174" s="8">
        <v>6</v>
      </c>
      <c r="C4174" s="8"/>
      <c r="D4174" s="2" t="s">
        <v>2143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3"/>
        <v>0.34040000000000004</v>
      </c>
      <c r="V4174" s="10">
        <f t="shared" si="644"/>
        <v>1.8204</v>
      </c>
      <c r="W4174" s="2">
        <f>1.48*S4174</f>
        <v>1.48</v>
      </c>
      <c r="X4174" s="5">
        <f t="shared" si="637"/>
        <v>0</v>
      </c>
      <c r="Z4174" s="2" t="s">
        <v>3227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5">T4174-W4174</f>
        <v>0</v>
      </c>
      <c r="AL4174" s="5">
        <f t="shared" ref="AL4174:AL4191" si="646">(T4174-W4174)/T4174</f>
        <v>0</v>
      </c>
    </row>
    <row r="4175" spans="1:38" hidden="1" x14ac:dyDescent="0.2">
      <c r="A4175" s="8">
        <v>2026</v>
      </c>
      <c r="B4175" s="8">
        <v>6</v>
      </c>
      <c r="C4175" s="8" t="s">
        <v>3294</v>
      </c>
      <c r="D4175" s="2" t="s">
        <v>3398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3229</v>
      </c>
      <c r="P4175" s="2" t="s">
        <v>1194</v>
      </c>
      <c r="Q4175" s="2" t="s">
        <v>3059</v>
      </c>
      <c r="R4175" s="2" t="s">
        <v>3060</v>
      </c>
      <c r="S4175" s="9">
        <v>1</v>
      </c>
      <c r="T4175" s="10">
        <v>5990</v>
      </c>
      <c r="U4175" s="2">
        <f t="shared" si="643"/>
        <v>1377.7</v>
      </c>
      <c r="V4175" s="10">
        <f>U4175+T4175</f>
        <v>7367.7</v>
      </c>
      <c r="W4175" s="2">
        <v>4214</v>
      </c>
      <c r="X4175" s="5">
        <f t="shared" si="637"/>
        <v>0.29649415692821368</v>
      </c>
      <c r="Z4175" s="2" t="s">
        <v>104</v>
      </c>
      <c r="AA4175" s="2" t="s">
        <v>2746</v>
      </c>
      <c r="AB4175" s="2" t="s">
        <v>3397</v>
      </c>
      <c r="AC4175" s="2" t="s">
        <v>1194</v>
      </c>
      <c r="AI4175" s="2"/>
      <c r="AK4175" s="2">
        <f t="shared" si="645"/>
        <v>1776</v>
      </c>
      <c r="AL4175" s="5">
        <f t="shared" si="646"/>
        <v>0.29649415692821368</v>
      </c>
    </row>
    <row r="4176" spans="1:38" hidden="1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3"/>
        <v>13.8</v>
      </c>
      <c r="V4176" s="2">
        <f t="shared" ref="V4176:V4207" si="647">T4176+U4176</f>
        <v>73.8</v>
      </c>
      <c r="W4176" s="2">
        <f>T4176*40%</f>
        <v>24</v>
      </c>
      <c r="X4176" s="5">
        <f t="shared" si="637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5"/>
        <v>36</v>
      </c>
      <c r="AL4176" s="5">
        <f t="shared" si="646"/>
        <v>0.6</v>
      </c>
    </row>
    <row r="4177" spans="1:38" hidden="1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3"/>
        <v>25.3</v>
      </c>
      <c r="V4177" s="2">
        <f t="shared" si="647"/>
        <v>135.30000000000001</v>
      </c>
      <c r="W4177" s="2">
        <f>T4177*50%</f>
        <v>55</v>
      </c>
      <c r="X4177" s="5">
        <f t="shared" si="637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5"/>
        <v>55</v>
      </c>
      <c r="AL4177" s="5">
        <f t="shared" si="646"/>
        <v>0.5</v>
      </c>
    </row>
    <row r="4178" spans="1:38" hidden="1" x14ac:dyDescent="0.2">
      <c r="A4178" s="8">
        <v>2026</v>
      </c>
      <c r="B4178" s="8">
        <v>6</v>
      </c>
      <c r="C4178" s="8"/>
      <c r="D4178" s="2" t="s">
        <v>3112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3"/>
        <v>21.16</v>
      </c>
      <c r="V4178" s="2">
        <f t="shared" si="647"/>
        <v>113.16</v>
      </c>
      <c r="W4178" s="2">
        <f>T4178*40%</f>
        <v>36.800000000000004</v>
      </c>
      <c r="X4178" s="5">
        <f t="shared" si="637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5"/>
        <v>55.199999999999996</v>
      </c>
      <c r="AL4178" s="5">
        <f t="shared" si="646"/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3112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3"/>
        <v>12.65</v>
      </c>
      <c r="V4179" s="2">
        <f t="shared" si="647"/>
        <v>67.650000000000006</v>
      </c>
      <c r="W4179" s="2">
        <f>T4179*50%</f>
        <v>27.5</v>
      </c>
      <c r="X4179" s="5">
        <f t="shared" si="637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5"/>
        <v>27.5</v>
      </c>
      <c r="AL4179" s="5">
        <f t="shared" si="646"/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3112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3"/>
        <v>22.983900000000002</v>
      </c>
      <c r="V4180" s="10">
        <f t="shared" si="647"/>
        <v>122.91390000000001</v>
      </c>
      <c r="X4180" s="5">
        <f t="shared" si="637"/>
        <v>1</v>
      </c>
      <c r="AI4180" s="2"/>
      <c r="AK4180" s="2">
        <f t="shared" si="645"/>
        <v>99.93</v>
      </c>
      <c r="AL4180" s="5">
        <f t="shared" si="646"/>
        <v>1</v>
      </c>
    </row>
    <row r="4181" spans="1:38" hidden="1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3"/>
        <v>23</v>
      </c>
      <c r="V4181" s="10">
        <f t="shared" si="647"/>
        <v>123</v>
      </c>
      <c r="W4181" s="2">
        <f>14.5099*S4181</f>
        <v>58.0396</v>
      </c>
      <c r="X4181" s="5">
        <f t="shared" si="637"/>
        <v>0.41960399999999998</v>
      </c>
      <c r="Z4181" s="2" t="s">
        <v>3227</v>
      </c>
      <c r="AA4181" s="2" t="s">
        <v>46</v>
      </c>
      <c r="AB4181" s="2" t="s">
        <v>60</v>
      </c>
      <c r="AC4181" s="2" t="s">
        <v>3332</v>
      </c>
      <c r="AI4181" s="2"/>
      <c r="AK4181" s="2">
        <f t="shared" si="645"/>
        <v>41.9604</v>
      </c>
      <c r="AL4181" s="5">
        <f t="shared" si="646"/>
        <v>0.41960399999999998</v>
      </c>
    </row>
    <row r="4182" spans="1:38" hidden="1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3"/>
        <v>23</v>
      </c>
      <c r="V4182" s="10">
        <f t="shared" si="647"/>
        <v>123</v>
      </c>
      <c r="W4182" s="2">
        <f>14.5099*S4182</f>
        <v>58.0396</v>
      </c>
      <c r="X4182" s="5">
        <f t="shared" si="637"/>
        <v>0.41960399999999998</v>
      </c>
      <c r="Z4182" s="2" t="s">
        <v>3227</v>
      </c>
      <c r="AA4182" s="2" t="s">
        <v>46</v>
      </c>
      <c r="AB4182" s="2" t="s">
        <v>60</v>
      </c>
      <c r="AC4182" s="2" t="s">
        <v>3332</v>
      </c>
      <c r="AI4182" s="2"/>
      <c r="AK4182" s="2">
        <f t="shared" si="645"/>
        <v>41.9604</v>
      </c>
      <c r="AL4182" s="5">
        <f t="shared" si="646"/>
        <v>0.41960399999999998</v>
      </c>
    </row>
    <row r="4183" spans="1:38" hidden="1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3"/>
        <v>156.14930000000001</v>
      </c>
      <c r="V4183" s="10">
        <f t="shared" si="647"/>
        <v>835.05930000000001</v>
      </c>
      <c r="X4183" s="5">
        <f t="shared" si="637"/>
        <v>1</v>
      </c>
      <c r="Z4183" s="2" t="s">
        <v>119</v>
      </c>
      <c r="AA4183" s="2" t="s">
        <v>492</v>
      </c>
      <c r="AI4183" s="2"/>
      <c r="AK4183" s="2">
        <f t="shared" si="645"/>
        <v>678.91</v>
      </c>
      <c r="AL4183" s="5">
        <f t="shared" si="646"/>
        <v>1</v>
      </c>
    </row>
    <row r="4184" spans="1:38" hidden="1" x14ac:dyDescent="0.2">
      <c r="A4184" s="8">
        <v>2026</v>
      </c>
      <c r="B4184" s="8">
        <v>6</v>
      </c>
      <c r="C4184" s="8"/>
      <c r="D4184" s="2" t="s">
        <v>3113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3"/>
        <v>13.8</v>
      </c>
      <c r="V4184" s="2">
        <f t="shared" si="647"/>
        <v>73.8</v>
      </c>
      <c r="W4184" s="2">
        <f>T4184*40%</f>
        <v>24</v>
      </c>
      <c r="X4184" s="5">
        <f t="shared" si="637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5"/>
        <v>36</v>
      </c>
      <c r="AL4184" s="5">
        <f t="shared" si="646"/>
        <v>0.6</v>
      </c>
    </row>
    <row r="4185" spans="1:38" hidden="1" x14ac:dyDescent="0.2">
      <c r="A4185" s="8">
        <v>2026</v>
      </c>
      <c r="B4185" s="8">
        <v>6</v>
      </c>
      <c r="C4185" s="8"/>
      <c r="D4185" s="2" t="s">
        <v>3113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3"/>
        <v>50.6</v>
      </c>
      <c r="V4185" s="2">
        <f t="shared" si="647"/>
        <v>270.60000000000002</v>
      </c>
      <c r="W4185" s="2">
        <f>T4185*50%</f>
        <v>110</v>
      </c>
      <c r="X4185" s="5">
        <f t="shared" si="637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5"/>
        <v>110</v>
      </c>
      <c r="AL4185" s="5">
        <f t="shared" si="646"/>
        <v>0.5</v>
      </c>
    </row>
    <row r="4186" spans="1:38" hidden="1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3217</v>
      </c>
      <c r="J4186" s="2" t="s">
        <v>3216</v>
      </c>
      <c r="K4186" s="2">
        <v>913814877</v>
      </c>
      <c r="L4186" s="2" t="s">
        <v>201</v>
      </c>
      <c r="M4186" s="2" t="s">
        <v>80</v>
      </c>
      <c r="O4186" s="2" t="s">
        <v>3215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3"/>
        <v>12.42</v>
      </c>
      <c r="V4186" s="10">
        <f t="shared" si="647"/>
        <v>66.42</v>
      </c>
      <c r="W4186" s="2">
        <f>10.6*S4186</f>
        <v>31.799999999999997</v>
      </c>
      <c r="X4186" s="5">
        <f t="shared" si="637"/>
        <v>0.41111111111111115</v>
      </c>
      <c r="Z4186" s="2" t="s">
        <v>3227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5"/>
        <v>22.200000000000003</v>
      </c>
      <c r="AL4186" s="5">
        <f t="shared" si="646"/>
        <v>0.41111111111111115</v>
      </c>
    </row>
    <row r="4187" spans="1:38" hidden="1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3217</v>
      </c>
      <c r="J4187" s="2" t="s">
        <v>3216</v>
      </c>
      <c r="K4187" s="2">
        <v>913814877</v>
      </c>
      <c r="L4187" s="2" t="s">
        <v>201</v>
      </c>
      <c r="M4187" s="2" t="s">
        <v>80</v>
      </c>
      <c r="O4187" s="2" t="s">
        <v>3215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3"/>
        <v>1.84</v>
      </c>
      <c r="V4187" s="10">
        <f t="shared" si="647"/>
        <v>9.84</v>
      </c>
      <c r="W4187" s="2">
        <v>6</v>
      </c>
      <c r="X4187" s="5">
        <f t="shared" si="637"/>
        <v>0.25</v>
      </c>
      <c r="Z4187" s="2" t="s">
        <v>169</v>
      </c>
      <c r="AA4187" s="2" t="s">
        <v>169</v>
      </c>
      <c r="AI4187" s="2"/>
      <c r="AK4187" s="2">
        <f t="shared" si="645"/>
        <v>2</v>
      </c>
      <c r="AL4187" s="5">
        <f t="shared" si="646"/>
        <v>0.25</v>
      </c>
    </row>
    <row r="4188" spans="1:38" hidden="1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643"/>
        <v>23</v>
      </c>
      <c r="V4188" s="10">
        <f t="shared" si="647"/>
        <v>123</v>
      </c>
      <c r="W4188" s="2">
        <f>W3923*S4188</f>
        <v>71.56</v>
      </c>
      <c r="X4188" s="5">
        <f t="shared" si="637"/>
        <v>0.28439999999999999</v>
      </c>
      <c r="Z4188" s="2" t="s">
        <v>3227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45"/>
        <v>28.439999999999998</v>
      </c>
      <c r="AL4188" s="5">
        <f t="shared" si="646"/>
        <v>0.28439999999999999</v>
      </c>
    </row>
    <row r="4189" spans="1:38" hidden="1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3"/>
        <v>1.84</v>
      </c>
      <c r="V4189" s="10">
        <f t="shared" si="647"/>
        <v>9.84</v>
      </c>
      <c r="W4189" s="2">
        <v>6</v>
      </c>
      <c r="X4189" s="5">
        <f t="shared" si="637"/>
        <v>0.25</v>
      </c>
      <c r="Z4189" s="2" t="s">
        <v>169</v>
      </c>
      <c r="AA4189" s="2" t="s">
        <v>169</v>
      </c>
      <c r="AI4189" s="2"/>
      <c r="AK4189" s="2">
        <f t="shared" si="645"/>
        <v>2</v>
      </c>
      <c r="AL4189" s="5">
        <f t="shared" si="646"/>
        <v>0.25</v>
      </c>
    </row>
    <row r="4190" spans="1:38" hidden="1" x14ac:dyDescent="0.2">
      <c r="A4190" s="8">
        <v>2026</v>
      </c>
      <c r="B4190" s="8">
        <v>6</v>
      </c>
      <c r="C4190" s="8"/>
      <c r="D4190" s="2" t="s">
        <v>2982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2983</v>
      </c>
      <c r="J4190" s="2" t="s">
        <v>1102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3"/>
        <v>-43.221600000000002</v>
      </c>
      <c r="V4190" s="10">
        <f t="shared" si="647"/>
        <v>-231.14159999999998</v>
      </c>
      <c r="AI4190" s="2"/>
      <c r="AK4190" s="2">
        <f t="shared" si="645"/>
        <v>-187.92</v>
      </c>
      <c r="AL4190" s="5">
        <f t="shared" si="646"/>
        <v>1</v>
      </c>
    </row>
    <row r="4191" spans="1:38" hidden="1" x14ac:dyDescent="0.2">
      <c r="A4191" s="8">
        <v>2026</v>
      </c>
      <c r="B4191" s="8">
        <v>6</v>
      </c>
      <c r="C4191" s="8"/>
      <c r="D4191" s="2" t="s">
        <v>2982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2983</v>
      </c>
      <c r="J4191" s="2" t="s">
        <v>1102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2985</v>
      </c>
      <c r="S4191" s="9">
        <v>-1</v>
      </c>
      <c r="T4191" s="10">
        <v>-28.38</v>
      </c>
      <c r="U4191" s="2">
        <f t="shared" si="643"/>
        <v>-6.5274000000000001</v>
      </c>
      <c r="V4191" s="10">
        <f t="shared" si="647"/>
        <v>-34.907399999999996</v>
      </c>
      <c r="X4191" s="5">
        <f>(T4191-W4191)/T4191</f>
        <v>1</v>
      </c>
      <c r="AI4191" s="2"/>
      <c r="AK4191" s="2">
        <f t="shared" si="645"/>
        <v>-28.38</v>
      </c>
      <c r="AL4191" s="5">
        <f t="shared" si="646"/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2982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2983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3"/>
        <v>-21.62</v>
      </c>
      <c r="V4192" s="2">
        <f t="shared" si="647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5"/>
        <v>-56.4</v>
      </c>
    </row>
    <row r="4193" spans="1:38" hidden="1" x14ac:dyDescent="0.2">
      <c r="A4193" s="8">
        <v>2026</v>
      </c>
      <c r="B4193" s="8">
        <v>6</v>
      </c>
      <c r="C4193" s="8"/>
      <c r="D4193" s="2" t="s">
        <v>2982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2983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3"/>
        <v>-12.65</v>
      </c>
      <c r="V4193" s="2">
        <f t="shared" si="647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5"/>
        <v>-55</v>
      </c>
    </row>
    <row r="4194" spans="1:38" hidden="1" x14ac:dyDescent="0.2">
      <c r="A4194" s="8">
        <v>2026</v>
      </c>
      <c r="B4194" s="8">
        <v>6</v>
      </c>
      <c r="C4194" s="8"/>
      <c r="D4194" s="2" t="s">
        <v>2982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2983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3"/>
        <v>-20.125</v>
      </c>
      <c r="V4194" s="10">
        <f t="shared" si="647"/>
        <v>-107.625</v>
      </c>
      <c r="X4194" s="2"/>
      <c r="AI4194" s="2"/>
      <c r="AL4194" s="2"/>
    </row>
    <row r="4195" spans="1:38" hidden="1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3"/>
        <v>11.040000000000001</v>
      </c>
      <c r="V4195" s="10">
        <f t="shared" si="64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3227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hidden="1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3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3227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hidden="1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3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3227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hidden="1" x14ac:dyDescent="0.2">
      <c r="A4198" s="8">
        <v>2026</v>
      </c>
      <c r="B4198" s="8">
        <v>6</v>
      </c>
      <c r="C4198" s="8" t="s">
        <v>3331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3"/>
        <v>-73.160699999999991</v>
      </c>
      <c r="V4198" s="10">
        <f t="shared" si="647"/>
        <v>-391.25069999999994</v>
      </c>
      <c r="Z4198" s="2" t="s">
        <v>119</v>
      </c>
      <c r="AA4198" s="2" t="s">
        <v>142</v>
      </c>
      <c r="AI4198" s="2"/>
    </row>
    <row r="4199" spans="1:38" hidden="1" x14ac:dyDescent="0.2">
      <c r="A4199" s="8">
        <v>2026</v>
      </c>
      <c r="B4199" s="8">
        <v>6</v>
      </c>
      <c r="C4199" s="8" t="s">
        <v>3331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3"/>
        <v>15.019</v>
      </c>
      <c r="V4199" s="10">
        <f t="shared" si="647"/>
        <v>80.319000000000003</v>
      </c>
      <c r="X4199" s="5">
        <f t="shared" ref="X4199:X4204" si="648">(T4199-W4199)/T4199</f>
        <v>1</v>
      </c>
      <c r="Z4199" s="2" t="s">
        <v>119</v>
      </c>
      <c r="AA4199" s="2" t="s">
        <v>3380</v>
      </c>
      <c r="AI4199" s="2"/>
      <c r="AK4199" s="2">
        <f>T4199-W4199</f>
        <v>65.3</v>
      </c>
      <c r="AL4199" s="5">
        <f>(T4199-W4199)/T4199</f>
        <v>1</v>
      </c>
    </row>
    <row r="4200" spans="1:38" hidden="1" x14ac:dyDescent="0.2">
      <c r="A4200" s="8">
        <v>2026</v>
      </c>
      <c r="B4200" s="8">
        <v>6</v>
      </c>
      <c r="C4200" s="8"/>
      <c r="D4200" s="2" t="s">
        <v>3110</v>
      </c>
      <c r="P4200" s="2" t="s">
        <v>40</v>
      </c>
      <c r="Q4200" s="2" t="s">
        <v>3061</v>
      </c>
      <c r="R4200" s="2" t="s">
        <v>3062</v>
      </c>
      <c r="S4200" s="9">
        <v>11601</v>
      </c>
      <c r="T4200" s="10">
        <v>2098.09</v>
      </c>
      <c r="U4200" s="2">
        <f t="shared" si="643"/>
        <v>482.56070000000005</v>
      </c>
      <c r="V4200" s="10">
        <f t="shared" si="647"/>
        <v>2580.6507000000001</v>
      </c>
      <c r="X4200" s="5">
        <f t="shared" si="648"/>
        <v>1</v>
      </c>
      <c r="Z4200" s="2" t="s">
        <v>119</v>
      </c>
      <c r="AA4200" s="2" t="s">
        <v>3292</v>
      </c>
      <c r="AI4200" s="2"/>
      <c r="AK4200" s="2">
        <f>T4200-W4200</f>
        <v>2098.09</v>
      </c>
      <c r="AL4200" s="5">
        <f>(T4200-W4200)/T4200</f>
        <v>1</v>
      </c>
    </row>
    <row r="4201" spans="1:38" hidden="1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3134</v>
      </c>
      <c r="L4201" s="2" t="s">
        <v>177</v>
      </c>
      <c r="M4201" s="2" t="s">
        <v>41</v>
      </c>
      <c r="O4201" s="2" t="s">
        <v>3144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643"/>
        <v>42.398200000000003</v>
      </c>
      <c r="V4201" s="10">
        <f t="shared" si="647"/>
        <v>226.73820000000001</v>
      </c>
      <c r="W4201" s="2">
        <v>69.67</v>
      </c>
      <c r="X4201" s="5">
        <f t="shared" si="648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hidden="1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3134</v>
      </c>
      <c r="L4202" s="2" t="s">
        <v>177</v>
      </c>
      <c r="M4202" s="2" t="s">
        <v>41</v>
      </c>
      <c r="O4202" s="2" t="s">
        <v>3145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3"/>
        <v>5.98</v>
      </c>
      <c r="V4202" s="10">
        <f t="shared" si="647"/>
        <v>31.98</v>
      </c>
      <c r="W4202" s="2">
        <f>6.6267*S4202</f>
        <v>13.253399999999999</v>
      </c>
      <c r="X4202" s="5">
        <f t="shared" si="648"/>
        <v>0.49025384615384621</v>
      </c>
      <c r="Z4202" s="2" t="s">
        <v>3227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49">AI4202*T4202</f>
        <v>0</v>
      </c>
      <c r="AK4202" s="2">
        <f t="shared" ref="AK4202:AK4228" si="650">T4202-W4202</f>
        <v>12.746600000000001</v>
      </c>
      <c r="AL4202" s="5">
        <f>(T4202-W4202)/T4202</f>
        <v>0.49025384615384621</v>
      </c>
    </row>
    <row r="4203" spans="1:38" hidden="1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3134</v>
      </c>
      <c r="L4203" s="2" t="s">
        <v>177</v>
      </c>
      <c r="M4203" s="2" t="s">
        <v>41</v>
      </c>
      <c r="O4203" s="2" t="s">
        <v>3143</v>
      </c>
      <c r="P4203" s="2" t="s">
        <v>166</v>
      </c>
      <c r="Q4203" s="2" t="s">
        <v>3063</v>
      </c>
      <c r="R4203" s="2" t="s">
        <v>3064</v>
      </c>
      <c r="S4203" s="9">
        <v>6</v>
      </c>
      <c r="T4203" s="10">
        <v>8.82</v>
      </c>
      <c r="U4203" s="2">
        <f t="shared" si="643"/>
        <v>2.0286</v>
      </c>
      <c r="V4203" s="10">
        <f t="shared" si="647"/>
        <v>10.848600000000001</v>
      </c>
      <c r="W4203" s="2">
        <f>1.32*S4203</f>
        <v>7.92</v>
      </c>
      <c r="X4203" s="5">
        <f t="shared" si="648"/>
        <v>0.10204081632653066</v>
      </c>
      <c r="Z4203" s="2" t="s">
        <v>3227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49"/>
        <v>0</v>
      </c>
      <c r="AK4203" s="2">
        <f t="shared" si="650"/>
        <v>0.90000000000000036</v>
      </c>
      <c r="AL4203" s="5">
        <f>(T4203-W4203)/T4203</f>
        <v>0.10204081632653066</v>
      </c>
    </row>
    <row r="4204" spans="1:38" hidden="1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3134</v>
      </c>
      <c r="L4204" s="2" t="s">
        <v>177</v>
      </c>
      <c r="M4204" s="2" t="s">
        <v>41</v>
      </c>
      <c r="O4204" s="2" t="s">
        <v>3143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643"/>
        <v>3.3809999999999998</v>
      </c>
      <c r="V4204" s="10">
        <f t="shared" si="647"/>
        <v>18.081</v>
      </c>
      <c r="W4204" s="2">
        <f>1.7*S4204</f>
        <v>10.199999999999999</v>
      </c>
      <c r="X4204" s="5">
        <f t="shared" si="648"/>
        <v>0.30612244897959184</v>
      </c>
      <c r="Z4204" s="2" t="s">
        <v>3227</v>
      </c>
      <c r="AA4204" s="2" t="s">
        <v>87</v>
      </c>
      <c r="AB4204" s="2" t="s">
        <v>119</v>
      </c>
      <c r="AC4204" s="2" t="s">
        <v>166</v>
      </c>
      <c r="AF4204" s="2">
        <f>AJ4204</f>
        <v>0</v>
      </c>
      <c r="AI4204" s="2"/>
      <c r="AJ4204" s="2">
        <f t="shared" si="649"/>
        <v>0</v>
      </c>
      <c r="AK4204" s="2">
        <f t="shared" si="650"/>
        <v>4.5</v>
      </c>
      <c r="AL4204" s="5">
        <f>(T4204-W4204)/T4204</f>
        <v>0.30612244897959184</v>
      </c>
    </row>
    <row r="4205" spans="1:38" hidden="1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3134</v>
      </c>
      <c r="L4205" s="2" t="s">
        <v>177</v>
      </c>
      <c r="M4205" s="2" t="s">
        <v>40</v>
      </c>
      <c r="O4205" s="2" t="s">
        <v>3144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1">T4205*23%</f>
        <v>0</v>
      </c>
      <c r="V4205" s="2">
        <f t="shared" si="647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49"/>
        <v>0</v>
      </c>
      <c r="AK4205" s="2">
        <f t="shared" si="650"/>
        <v>0</v>
      </c>
      <c r="AL4205" s="5">
        <v>0</v>
      </c>
    </row>
    <row r="4206" spans="1:38" hidden="1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3134</v>
      </c>
      <c r="L4206" s="2" t="s">
        <v>177</v>
      </c>
      <c r="M4206" s="2" t="s">
        <v>40</v>
      </c>
      <c r="O4206" s="2" t="s">
        <v>3144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1"/>
        <v>12.65</v>
      </c>
      <c r="V4206" s="2">
        <f t="shared" si="647"/>
        <v>67.650000000000006</v>
      </c>
      <c r="W4206" s="2">
        <f>T4206*50%</f>
        <v>27.5</v>
      </c>
      <c r="X4206" s="5">
        <f t="shared" ref="X4206:X4228" si="652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49"/>
        <v>0</v>
      </c>
      <c r="AK4206" s="2">
        <f t="shared" si="650"/>
        <v>27.5</v>
      </c>
      <c r="AL4206" s="5">
        <f t="shared" ref="AL4206:AL4228" si="653">(T4206-W4206)/T4206</f>
        <v>0.5</v>
      </c>
    </row>
    <row r="4207" spans="1:38" hidden="1" x14ac:dyDescent="0.2">
      <c r="A4207" s="8">
        <v>2026</v>
      </c>
      <c r="B4207" s="8">
        <v>6</v>
      </c>
      <c r="C4207" s="8"/>
      <c r="D4207" s="2" t="s">
        <v>3111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1"/>
        <v>28.75</v>
      </c>
      <c r="V4207" s="2">
        <f t="shared" si="647"/>
        <v>153.75</v>
      </c>
      <c r="W4207" s="2">
        <f>T4207*40%</f>
        <v>50</v>
      </c>
      <c r="X4207" s="5">
        <f t="shared" si="652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49"/>
        <v>0</v>
      </c>
      <c r="AK4207" s="2">
        <f t="shared" si="650"/>
        <v>75</v>
      </c>
      <c r="AL4207" s="5">
        <f t="shared" si="653"/>
        <v>0.6</v>
      </c>
    </row>
    <row r="4208" spans="1:38" hidden="1" x14ac:dyDescent="0.2">
      <c r="A4208" s="8">
        <v>2026</v>
      </c>
      <c r="B4208" s="8">
        <v>6</v>
      </c>
      <c r="C4208" s="8"/>
      <c r="D4208" s="2" t="s">
        <v>3111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1"/>
        <v>12.65</v>
      </c>
      <c r="V4208" s="2">
        <f t="shared" ref="V4208:V4235" si="654">T4208+U4208</f>
        <v>67.650000000000006</v>
      </c>
      <c r="W4208" s="2">
        <f>T4208*50%</f>
        <v>27.5</v>
      </c>
      <c r="X4208" s="5">
        <f t="shared" si="652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49"/>
        <v>0</v>
      </c>
      <c r="AK4208" s="2">
        <f t="shared" si="650"/>
        <v>27.5</v>
      </c>
      <c r="AL4208" s="5">
        <f t="shared" si="653"/>
        <v>0.5</v>
      </c>
    </row>
    <row r="4209" spans="1:38" hidden="1" x14ac:dyDescent="0.2">
      <c r="A4209" s="8">
        <v>2026</v>
      </c>
      <c r="B4209" s="8">
        <v>6</v>
      </c>
      <c r="C4209" s="8" t="s">
        <v>3392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651"/>
        <v>1.5870000000000002</v>
      </c>
      <c r="V4209" s="2">
        <f t="shared" si="654"/>
        <v>8.4870000000000001</v>
      </c>
      <c r="W4209" s="2">
        <f>5.135*S4209</f>
        <v>5.1349999999999998</v>
      </c>
      <c r="X4209" s="5">
        <f t="shared" si="652"/>
        <v>0.25579710144927542</v>
      </c>
      <c r="Z4209" s="2" t="s">
        <v>3227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0"/>
        <v>1.7650000000000006</v>
      </c>
      <c r="AL4209" s="5">
        <f t="shared" si="653"/>
        <v>0.25579710144927542</v>
      </c>
    </row>
    <row r="4210" spans="1:38" hidden="1" x14ac:dyDescent="0.2">
      <c r="A4210" s="8">
        <v>2026</v>
      </c>
      <c r="B4210" s="8">
        <v>6</v>
      </c>
      <c r="C4210" s="8" t="s">
        <v>3392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3065</v>
      </c>
      <c r="R4210" s="2" t="s">
        <v>3066</v>
      </c>
      <c r="S4210" s="9">
        <v>1</v>
      </c>
      <c r="T4210" s="10">
        <v>7.24</v>
      </c>
      <c r="U4210" s="2">
        <f t="shared" si="651"/>
        <v>1.6652</v>
      </c>
      <c r="V4210" s="2">
        <f t="shared" si="654"/>
        <v>8.9052000000000007</v>
      </c>
      <c r="W4210" s="2">
        <v>5.07</v>
      </c>
      <c r="X4210" s="5">
        <f t="shared" si="652"/>
        <v>0.29972375690607733</v>
      </c>
      <c r="Z4210" s="2" t="s">
        <v>3227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650"/>
        <v>2.17</v>
      </c>
      <c r="AL4210" s="5">
        <f t="shared" si="653"/>
        <v>0.29972375690607733</v>
      </c>
    </row>
    <row r="4211" spans="1:38" hidden="1" x14ac:dyDescent="0.2">
      <c r="A4211" s="8">
        <v>2026</v>
      </c>
      <c r="B4211" s="8">
        <v>6</v>
      </c>
      <c r="C4211" s="8" t="s">
        <v>3392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3067</v>
      </c>
      <c r="R4211" s="2" t="s">
        <v>3068</v>
      </c>
      <c r="S4211" s="9">
        <v>1</v>
      </c>
      <c r="T4211" s="10">
        <v>7.24</v>
      </c>
      <c r="U4211" s="2">
        <f t="shared" si="651"/>
        <v>1.6652</v>
      </c>
      <c r="V4211" s="2">
        <f t="shared" si="654"/>
        <v>8.9052000000000007</v>
      </c>
      <c r="W4211" s="2">
        <v>5.07</v>
      </c>
      <c r="X4211" s="5">
        <f t="shared" si="652"/>
        <v>0.29972375690607733</v>
      </c>
      <c r="Z4211" s="2" t="s">
        <v>3227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650"/>
        <v>2.17</v>
      </c>
      <c r="AL4211" s="5">
        <f t="shared" si="653"/>
        <v>0.29972375690607733</v>
      </c>
    </row>
    <row r="4212" spans="1:38" hidden="1" x14ac:dyDescent="0.2">
      <c r="A4212" s="8">
        <v>2026</v>
      </c>
      <c r="B4212" s="8">
        <v>6</v>
      </c>
      <c r="C4212" s="8" t="s">
        <v>3392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3069</v>
      </c>
      <c r="R4212" s="2" t="s">
        <v>3070</v>
      </c>
      <c r="S4212" s="9">
        <v>1</v>
      </c>
      <c r="T4212" s="10">
        <v>7.24</v>
      </c>
      <c r="U4212" s="2">
        <f t="shared" si="651"/>
        <v>1.6652</v>
      </c>
      <c r="V4212" s="2">
        <f t="shared" si="654"/>
        <v>8.9052000000000007</v>
      </c>
      <c r="W4212" s="2">
        <f>5.07</f>
        <v>5.07</v>
      </c>
      <c r="X4212" s="5">
        <f t="shared" si="652"/>
        <v>0.29972375690607733</v>
      </c>
      <c r="Z4212" s="2" t="s">
        <v>3227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650"/>
        <v>2.17</v>
      </c>
      <c r="AL4212" s="5">
        <f t="shared" si="653"/>
        <v>0.29972375690607733</v>
      </c>
    </row>
    <row r="4213" spans="1:38" hidden="1" x14ac:dyDescent="0.2">
      <c r="A4213" s="8">
        <v>2026</v>
      </c>
      <c r="B4213" s="8">
        <v>6</v>
      </c>
      <c r="C4213" s="8" t="s">
        <v>3392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3071</v>
      </c>
      <c r="R4213" s="2" t="s">
        <v>3072</v>
      </c>
      <c r="S4213" s="9">
        <v>1</v>
      </c>
      <c r="T4213" s="10">
        <v>16.899999999999999</v>
      </c>
      <c r="U4213" s="2">
        <f t="shared" si="651"/>
        <v>3.887</v>
      </c>
      <c r="V4213" s="2">
        <f t="shared" si="654"/>
        <v>20.786999999999999</v>
      </c>
      <c r="W4213" s="2">
        <f>12.68</f>
        <v>12.68</v>
      </c>
      <c r="X4213" s="5">
        <f t="shared" si="652"/>
        <v>0.24970414201183427</v>
      </c>
      <c r="Z4213" s="2" t="s">
        <v>3227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650"/>
        <v>4.2199999999999989</v>
      </c>
      <c r="AL4213" s="5">
        <f t="shared" si="653"/>
        <v>0.24970414201183427</v>
      </c>
    </row>
    <row r="4214" spans="1:38" hidden="1" x14ac:dyDescent="0.2">
      <c r="A4214" s="8">
        <v>2026</v>
      </c>
      <c r="B4214" s="8">
        <v>6</v>
      </c>
      <c r="C4214" s="8" t="s">
        <v>3392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3073</v>
      </c>
      <c r="R4214" s="2" t="s">
        <v>3074</v>
      </c>
      <c r="S4214" s="9">
        <v>1</v>
      </c>
      <c r="T4214" s="10">
        <v>19</v>
      </c>
      <c r="U4214" s="2">
        <f t="shared" si="651"/>
        <v>4.37</v>
      </c>
      <c r="V4214" s="2">
        <f t="shared" si="654"/>
        <v>23.37</v>
      </c>
      <c r="W4214" s="2">
        <f>14.25</f>
        <v>14.25</v>
      </c>
      <c r="X4214" s="5">
        <f t="shared" si="652"/>
        <v>0.25</v>
      </c>
      <c r="Z4214" s="2" t="s">
        <v>3227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650"/>
        <v>4.75</v>
      </c>
      <c r="AL4214" s="5">
        <f t="shared" si="653"/>
        <v>0.25</v>
      </c>
    </row>
    <row r="4215" spans="1:38" hidden="1" x14ac:dyDescent="0.2">
      <c r="A4215" s="8">
        <v>2026</v>
      </c>
      <c r="B4215" s="8">
        <v>6</v>
      </c>
      <c r="C4215" s="8" t="s">
        <v>3392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3075</v>
      </c>
      <c r="R4215" s="2" t="s">
        <v>3076</v>
      </c>
      <c r="S4215" s="9">
        <v>1</v>
      </c>
      <c r="T4215" s="10">
        <v>43.5</v>
      </c>
      <c r="U4215" s="2">
        <f t="shared" si="651"/>
        <v>10.005000000000001</v>
      </c>
      <c r="V4215" s="2">
        <f t="shared" si="654"/>
        <v>53.505000000000003</v>
      </c>
      <c r="W4215" s="2">
        <f>32.63</f>
        <v>32.630000000000003</v>
      </c>
      <c r="X4215" s="5">
        <f t="shared" si="652"/>
        <v>0.2498850574712643</v>
      </c>
      <c r="Z4215" s="2" t="s">
        <v>3227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650"/>
        <v>10.869999999999997</v>
      </c>
      <c r="AL4215" s="5">
        <f t="shared" si="653"/>
        <v>0.2498850574712643</v>
      </c>
    </row>
    <row r="4216" spans="1:38" hidden="1" x14ac:dyDescent="0.2">
      <c r="A4216" s="8">
        <v>2026</v>
      </c>
      <c r="B4216" s="8">
        <v>6</v>
      </c>
      <c r="C4216" s="8" t="s">
        <v>3392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3077</v>
      </c>
      <c r="R4216" s="2" t="s">
        <v>3078</v>
      </c>
      <c r="S4216" s="9">
        <v>1</v>
      </c>
      <c r="T4216" s="10">
        <v>13.6</v>
      </c>
      <c r="U4216" s="2">
        <f t="shared" si="651"/>
        <v>3.1280000000000001</v>
      </c>
      <c r="V4216" s="2">
        <f t="shared" si="654"/>
        <v>16.728000000000002</v>
      </c>
      <c r="W4216" s="2">
        <f>10.2</f>
        <v>10.199999999999999</v>
      </c>
      <c r="X4216" s="5">
        <f t="shared" si="652"/>
        <v>0.25000000000000006</v>
      </c>
      <c r="Z4216" s="2" t="s">
        <v>3227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650"/>
        <v>3.4000000000000004</v>
      </c>
      <c r="AL4216" s="5">
        <f t="shared" si="653"/>
        <v>0.25000000000000006</v>
      </c>
    </row>
    <row r="4217" spans="1:38" hidden="1" x14ac:dyDescent="0.2">
      <c r="A4217" s="8">
        <v>2026</v>
      </c>
      <c r="B4217" s="8">
        <v>6</v>
      </c>
      <c r="C4217" s="8" t="s">
        <v>3294</v>
      </c>
      <c r="D4217" s="2" t="s">
        <v>3109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3079</v>
      </c>
      <c r="R4217" s="2" t="s">
        <v>3080</v>
      </c>
      <c r="S4217" s="9">
        <v>1</v>
      </c>
      <c r="T4217" s="10">
        <v>43</v>
      </c>
      <c r="U4217" s="2">
        <f t="shared" si="651"/>
        <v>9.89</v>
      </c>
      <c r="V4217" s="2">
        <f t="shared" si="654"/>
        <v>52.89</v>
      </c>
      <c r="W4217" s="2">
        <v>35.49</v>
      </c>
      <c r="X4217" s="5">
        <f t="shared" si="652"/>
        <v>0.17465116279069762</v>
      </c>
      <c r="Z4217" s="2" t="s">
        <v>3227</v>
      </c>
      <c r="AA4217" s="2" t="s">
        <v>71</v>
      </c>
      <c r="AB4217" s="2" t="s">
        <v>68</v>
      </c>
      <c r="AC4217" s="2" t="s">
        <v>3436</v>
      </c>
      <c r="AI4217" s="2"/>
      <c r="AK4217" s="2">
        <f t="shared" si="650"/>
        <v>7.509999999999998</v>
      </c>
      <c r="AL4217" s="5">
        <f t="shared" si="653"/>
        <v>0.17465116279069762</v>
      </c>
    </row>
    <row r="4218" spans="1:38" hidden="1" x14ac:dyDescent="0.2">
      <c r="A4218" s="8">
        <v>2026</v>
      </c>
      <c r="B4218" s="8">
        <v>6</v>
      </c>
      <c r="C4218" s="8" t="s">
        <v>3294</v>
      </c>
      <c r="D4218" s="2" t="s">
        <v>3109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3081</v>
      </c>
      <c r="R4218" s="2" t="s">
        <v>3082</v>
      </c>
      <c r="S4218" s="9">
        <v>1</v>
      </c>
      <c r="T4218" s="10">
        <v>198</v>
      </c>
      <c r="U4218" s="2">
        <f t="shared" si="651"/>
        <v>45.54</v>
      </c>
      <c r="V4218" s="2">
        <f t="shared" si="654"/>
        <v>243.54</v>
      </c>
      <c r="W4218" s="2">
        <v>148.5</v>
      </c>
      <c r="X4218" s="5">
        <f t="shared" si="652"/>
        <v>0.25</v>
      </c>
      <c r="Z4218" s="2" t="s">
        <v>3227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650"/>
        <v>49.5</v>
      </c>
      <c r="AL4218" s="5">
        <f t="shared" si="653"/>
        <v>0.25</v>
      </c>
    </row>
    <row r="4219" spans="1:38" hidden="1" x14ac:dyDescent="0.2">
      <c r="A4219" s="8">
        <v>2026</v>
      </c>
      <c r="B4219" s="8">
        <v>6</v>
      </c>
      <c r="C4219" s="8" t="s">
        <v>3294</v>
      </c>
      <c r="D4219" s="2" t="s">
        <v>3109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3083</v>
      </c>
      <c r="R4219" s="2" t="s">
        <v>3084</v>
      </c>
      <c r="S4219" s="9">
        <v>1</v>
      </c>
      <c r="T4219" s="10">
        <v>3000</v>
      </c>
      <c r="U4219" s="2">
        <f t="shared" si="651"/>
        <v>690</v>
      </c>
      <c r="V4219" s="10">
        <f t="shared" si="654"/>
        <v>3690</v>
      </c>
      <c r="W4219" s="2">
        <f>T4219*75%</f>
        <v>2250</v>
      </c>
      <c r="X4219" s="5">
        <f t="shared" si="652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0"/>
        <v>750</v>
      </c>
      <c r="AL4219" s="5">
        <f t="shared" si="653"/>
        <v>0.25</v>
      </c>
    </row>
    <row r="4220" spans="1:38" hidden="1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3085</v>
      </c>
      <c r="R4220" s="2" t="s">
        <v>3086</v>
      </c>
      <c r="S4220" s="9">
        <v>1</v>
      </c>
      <c r="T4220" s="10">
        <v>240</v>
      </c>
      <c r="U4220" s="2">
        <f t="shared" si="651"/>
        <v>55.2</v>
      </c>
      <c r="V4220" s="2">
        <f t="shared" si="654"/>
        <v>295.2</v>
      </c>
      <c r="W4220" s="2">
        <v>128.99</v>
      </c>
      <c r="X4220" s="5">
        <f t="shared" si="652"/>
        <v>0.46254166666666663</v>
      </c>
      <c r="Z4220" s="2" t="s">
        <v>3227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650"/>
        <v>111.00999999999999</v>
      </c>
      <c r="AL4220" s="5">
        <f t="shared" si="653"/>
        <v>0.46254166666666663</v>
      </c>
    </row>
    <row r="4221" spans="1:38" hidden="1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1"/>
        <v>6.9</v>
      </c>
      <c r="V4221" s="10">
        <f t="shared" si="654"/>
        <v>36.9</v>
      </c>
      <c r="W4221" s="2">
        <v>28</v>
      </c>
      <c r="X4221" s="5">
        <f t="shared" si="652"/>
        <v>6.6666666666666666E-2</v>
      </c>
      <c r="Z4221" s="2" t="s">
        <v>169</v>
      </c>
      <c r="AA4221" s="2" t="s">
        <v>169</v>
      </c>
      <c r="AI4221" s="2"/>
      <c r="AK4221" s="2">
        <f t="shared" si="650"/>
        <v>2</v>
      </c>
      <c r="AL4221" s="5">
        <f t="shared" si="653"/>
        <v>6.6666666666666666E-2</v>
      </c>
    </row>
    <row r="4222" spans="1:38" hidden="1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1"/>
        <v>0.34040000000000004</v>
      </c>
      <c r="V4222" s="10">
        <f t="shared" si="654"/>
        <v>1.8204</v>
      </c>
      <c r="W4222" s="2">
        <f>1.48*S4222</f>
        <v>1.48</v>
      </c>
      <c r="X4222" s="5">
        <f t="shared" si="652"/>
        <v>0</v>
      </c>
      <c r="Z4222" s="2" t="s">
        <v>3227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0"/>
        <v>0</v>
      </c>
      <c r="AL4222" s="5">
        <f t="shared" si="653"/>
        <v>0</v>
      </c>
    </row>
    <row r="4223" spans="1:38" hidden="1" x14ac:dyDescent="0.2">
      <c r="A4223" s="8">
        <v>2026</v>
      </c>
      <c r="B4223" s="8">
        <v>6</v>
      </c>
      <c r="C4223" s="8"/>
      <c r="D4223" s="2" t="s">
        <v>2049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651"/>
        <v>64.094100000000012</v>
      </c>
      <c r="V4223" s="2">
        <f t="shared" si="654"/>
        <v>342.76410000000004</v>
      </c>
      <c r="W4223" s="2">
        <f>134.41</f>
        <v>134.41</v>
      </c>
      <c r="X4223" s="5">
        <f t="shared" si="652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0"/>
        <v>144.26000000000002</v>
      </c>
      <c r="AL4223" s="2">
        <f t="shared" si="653"/>
        <v>0.51767323357376116</v>
      </c>
    </row>
    <row r="4224" spans="1:38" hidden="1" x14ac:dyDescent="0.2">
      <c r="A4224" s="8">
        <v>2026</v>
      </c>
      <c r="B4224" s="8">
        <v>6</v>
      </c>
      <c r="C4224" s="8"/>
      <c r="D4224" s="2" t="s">
        <v>2049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1"/>
        <v>33.81</v>
      </c>
      <c r="V4224" s="2">
        <f t="shared" si="654"/>
        <v>180.81</v>
      </c>
      <c r="W4224" s="2">
        <f>T4224*40%</f>
        <v>58.800000000000004</v>
      </c>
      <c r="X4224" s="5">
        <f t="shared" si="652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0"/>
        <v>88.199999999999989</v>
      </c>
      <c r="AL4224" s="5">
        <f t="shared" si="653"/>
        <v>0.6</v>
      </c>
    </row>
    <row r="4225" spans="1:38" hidden="1" x14ac:dyDescent="0.2">
      <c r="A4225" s="8">
        <v>2026</v>
      </c>
      <c r="B4225" s="8">
        <v>6</v>
      </c>
      <c r="C4225" s="8"/>
      <c r="D4225" s="2" t="s">
        <v>2049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1"/>
        <v>25.3</v>
      </c>
      <c r="V4225" s="2">
        <f t="shared" si="654"/>
        <v>135.30000000000001</v>
      </c>
      <c r="W4225" s="2">
        <f>T4225*50%</f>
        <v>55</v>
      </c>
      <c r="X4225" s="5">
        <f t="shared" si="652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0"/>
        <v>55</v>
      </c>
      <c r="AL4225" s="5">
        <f t="shared" si="653"/>
        <v>0.5</v>
      </c>
    </row>
    <row r="4226" spans="1:38" hidden="1" x14ac:dyDescent="0.2">
      <c r="A4226" s="8">
        <v>2026</v>
      </c>
      <c r="B4226" s="8">
        <v>6</v>
      </c>
      <c r="C4226" s="8" t="s">
        <v>3447</v>
      </c>
      <c r="D4226" s="2" t="s">
        <v>2904</v>
      </c>
      <c r="F4226" s="2" t="s">
        <v>3445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1"/>
        <v>13.34</v>
      </c>
      <c r="V4226" s="2">
        <f t="shared" si="654"/>
        <v>71.34</v>
      </c>
      <c r="W4226" s="2">
        <f>14.5099*S4226</f>
        <v>29.0198</v>
      </c>
      <c r="X4226" s="5">
        <f t="shared" si="652"/>
        <v>0.49965862068965516</v>
      </c>
      <c r="Z4226" s="2" t="s">
        <v>3227</v>
      </c>
      <c r="AA4226" s="2" t="s">
        <v>46</v>
      </c>
      <c r="AB4226" s="2" t="s">
        <v>60</v>
      </c>
      <c r="AC4226" s="2" t="s">
        <v>3332</v>
      </c>
      <c r="AI4226" s="2"/>
      <c r="AK4226" s="2">
        <f t="shared" si="650"/>
        <v>28.9802</v>
      </c>
      <c r="AL4226" s="5">
        <f t="shared" si="653"/>
        <v>0.49965862068965516</v>
      </c>
    </row>
    <row r="4227" spans="1:38" hidden="1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1"/>
        <v>50.572400000000002</v>
      </c>
      <c r="V4227" s="10">
        <f t="shared" si="654"/>
        <v>270.45240000000001</v>
      </c>
      <c r="W4227" s="2">
        <v>125.51600000000001</v>
      </c>
      <c r="X4227" s="5">
        <f t="shared" si="652"/>
        <v>0.429161360742223</v>
      </c>
      <c r="Z4227" s="2" t="s">
        <v>3227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0"/>
        <v>94.36399999999999</v>
      </c>
      <c r="AL4227" s="5">
        <f t="shared" si="653"/>
        <v>0.429161360742223</v>
      </c>
    </row>
    <row r="4228" spans="1:38" hidden="1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3156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651"/>
        <v>61.998800000000003</v>
      </c>
      <c r="V4228" s="2">
        <f t="shared" si="654"/>
        <v>331.55880000000002</v>
      </c>
      <c r="W4228" s="2">
        <v>157.85</v>
      </c>
      <c r="X4228" s="5">
        <f t="shared" si="652"/>
        <v>0.4144160854726221</v>
      </c>
      <c r="Z4228" s="2" t="s">
        <v>3227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0"/>
        <v>111.71000000000001</v>
      </c>
      <c r="AL4228" s="5">
        <f t="shared" si="653"/>
        <v>0.4144160854726221</v>
      </c>
    </row>
    <row r="4229" spans="1:38" hidden="1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1"/>
        <v>-4.7495000000000003</v>
      </c>
      <c r="V4229" s="10">
        <f t="shared" si="654"/>
        <v>-25.3995</v>
      </c>
      <c r="Z4229" s="2" t="s">
        <v>119</v>
      </c>
      <c r="AA4229" s="2" t="s">
        <v>142</v>
      </c>
      <c r="AI4229" s="2"/>
    </row>
    <row r="4230" spans="1:38" hidden="1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1"/>
        <v>0.68080000000000007</v>
      </c>
      <c r="V4230" s="10">
        <f t="shared" si="654"/>
        <v>3.6408</v>
      </c>
      <c r="W4230" s="2">
        <f>1.48*S4230</f>
        <v>2.96</v>
      </c>
      <c r="X4230" s="5">
        <f t="shared" ref="X4230:X4235" si="655">(T4230-W4230)/T4230</f>
        <v>0</v>
      </c>
      <c r="Z4230" s="2" t="s">
        <v>3227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hidden="1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1"/>
        <v>5.3819999999999997</v>
      </c>
      <c r="V4231" s="10">
        <f t="shared" si="654"/>
        <v>28.781999999999996</v>
      </c>
      <c r="W4231" s="2">
        <v>12.4434</v>
      </c>
      <c r="X4231" s="5">
        <f t="shared" si="655"/>
        <v>0.46823076923076917</v>
      </c>
      <c r="Z4231" s="2" t="s">
        <v>3227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hidden="1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1"/>
        <v>6.9</v>
      </c>
      <c r="V4232" s="10">
        <f t="shared" si="654"/>
        <v>36.9</v>
      </c>
      <c r="W4232" s="2">
        <f>16*S4232</f>
        <v>16</v>
      </c>
      <c r="X4232" s="5">
        <f t="shared" si="655"/>
        <v>0.46666666666666667</v>
      </c>
      <c r="Z4232" s="2" t="s">
        <v>3227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56">T4232-W4232</f>
        <v>14</v>
      </c>
      <c r="AL4232" s="5">
        <f t="shared" ref="AL4232:AL4233" si="657">(T4232-W4232)/T4232</f>
        <v>0.46666666666666667</v>
      </c>
    </row>
    <row r="4233" spans="1:38" hidden="1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1"/>
        <v>4.83</v>
      </c>
      <c r="V4233" s="10">
        <f t="shared" si="654"/>
        <v>25.83</v>
      </c>
      <c r="W4233" s="2">
        <f>11.045*S4233</f>
        <v>11.045</v>
      </c>
      <c r="X4233" s="5">
        <f t="shared" si="655"/>
        <v>0.47404761904761905</v>
      </c>
      <c r="Z4233" s="2" t="s">
        <v>3227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56"/>
        <v>9.9550000000000001</v>
      </c>
      <c r="AL4233" s="5">
        <f t="shared" si="657"/>
        <v>0.47404761904761905</v>
      </c>
    </row>
    <row r="4234" spans="1:38" hidden="1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1"/>
        <v>8.9700000000000006</v>
      </c>
      <c r="V4234" s="10">
        <f t="shared" si="654"/>
        <v>47.97</v>
      </c>
      <c r="W4234" s="2">
        <f>0.082*S4234</f>
        <v>24.6</v>
      </c>
      <c r="X4234" s="5">
        <f t="shared" si="655"/>
        <v>0.3692307692307692</v>
      </c>
      <c r="Z4234" s="2" t="s">
        <v>3227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hidden="1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2967</v>
      </c>
      <c r="R4235" s="2" t="s">
        <v>2968</v>
      </c>
      <c r="S4235" s="9">
        <v>2</v>
      </c>
      <c r="T4235" s="10">
        <v>36</v>
      </c>
      <c r="U4235" s="2">
        <f t="shared" si="651"/>
        <v>8.2800000000000011</v>
      </c>
      <c r="V4235" s="10">
        <f t="shared" si="654"/>
        <v>44.28</v>
      </c>
      <c r="W4235" s="2">
        <f>11.525*S4235</f>
        <v>23.05</v>
      </c>
      <c r="X4235" s="5">
        <f t="shared" si="655"/>
        <v>0.35972222222222222</v>
      </c>
      <c r="Z4235" s="2" t="s">
        <v>3227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hidden="1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hidden="1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3160</v>
      </c>
      <c r="P4237" s="2" t="s">
        <v>1038</v>
      </c>
      <c r="Q4237" s="2" t="s">
        <v>3087</v>
      </c>
      <c r="R4237" s="2" t="s">
        <v>3088</v>
      </c>
      <c r="S4237" s="9">
        <v>1</v>
      </c>
      <c r="T4237" s="10">
        <v>270</v>
      </c>
      <c r="U4237" s="2">
        <f t="shared" ref="U4237:U4258" si="658">T4237*23%</f>
        <v>62.1</v>
      </c>
      <c r="V4237" s="2">
        <f t="shared" ref="V4237:V4258" si="659">T4237+U4237</f>
        <v>332.1</v>
      </c>
      <c r="W4237" s="2">
        <v>141.16</v>
      </c>
      <c r="X4237" s="5">
        <f t="shared" ref="X4237:X4274" si="660">(T4237-W4237)/T4237</f>
        <v>0.47718518518518521</v>
      </c>
      <c r="Z4237" s="2" t="s">
        <v>3227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hidden="1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58"/>
        <v>0.34040000000000004</v>
      </c>
      <c r="V4238" s="10">
        <f t="shared" si="659"/>
        <v>1.8204</v>
      </c>
      <c r="W4238" s="2">
        <f>1.48*S4238</f>
        <v>1.48</v>
      </c>
      <c r="X4238" s="5">
        <f t="shared" si="660"/>
        <v>0</v>
      </c>
      <c r="Z4238" s="2" t="s">
        <v>3227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hidden="1" x14ac:dyDescent="0.2">
      <c r="A4239" s="8">
        <v>2026</v>
      </c>
      <c r="B4239" s="8">
        <v>6</v>
      </c>
      <c r="C4239" s="8"/>
      <c r="D4239" s="2" t="s">
        <v>3108</v>
      </c>
      <c r="P4239" s="2" t="s">
        <v>282</v>
      </c>
      <c r="Q4239" s="2" t="s">
        <v>3089</v>
      </c>
      <c r="R4239" s="2" t="s">
        <v>3090</v>
      </c>
      <c r="S4239" s="9">
        <v>1</v>
      </c>
      <c r="T4239" s="10">
        <v>2490</v>
      </c>
      <c r="U4239" s="2">
        <f t="shared" si="658"/>
        <v>572.70000000000005</v>
      </c>
      <c r="V4239" s="10">
        <f t="shared" si="659"/>
        <v>3062.7</v>
      </c>
      <c r="W4239" s="2">
        <f>1970.05+49</f>
        <v>2019.05</v>
      </c>
      <c r="X4239" s="5">
        <f t="shared" si="660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hidden="1" x14ac:dyDescent="0.2">
      <c r="A4240" s="8">
        <v>2026</v>
      </c>
      <c r="B4240" s="8">
        <v>6</v>
      </c>
      <c r="C4240" s="8"/>
      <c r="D4240" s="2" t="s">
        <v>3108</v>
      </c>
      <c r="P4240" s="2" t="s">
        <v>282</v>
      </c>
      <c r="Q4240" s="2" t="s">
        <v>3091</v>
      </c>
      <c r="R4240" s="2" t="s">
        <v>3092</v>
      </c>
      <c r="S4240" s="9">
        <v>1</v>
      </c>
      <c r="T4240" s="10">
        <v>2490</v>
      </c>
      <c r="U4240" s="2">
        <f t="shared" si="658"/>
        <v>572.70000000000005</v>
      </c>
      <c r="V4240" s="10">
        <f t="shared" si="659"/>
        <v>3062.7</v>
      </c>
      <c r="W4240" s="2">
        <f>1995.2+43.97</f>
        <v>2039.17</v>
      </c>
      <c r="X4240" s="5">
        <f t="shared" si="660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hidden="1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58"/>
        <v>36.151400000000002</v>
      </c>
      <c r="V4241" s="10">
        <f t="shared" si="659"/>
        <v>193.3314</v>
      </c>
      <c r="W4241" s="2">
        <f>36.2258*S4241</f>
        <v>72.451599999999999</v>
      </c>
      <c r="X4241" s="5">
        <f t="shared" si="660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58"/>
        <v>6.5711000000000004</v>
      </c>
      <c r="V4242" s="10">
        <f t="shared" si="659"/>
        <v>35.141100000000002</v>
      </c>
      <c r="W4242" s="2">
        <f>5.3525*S4242</f>
        <v>10.705</v>
      </c>
      <c r="X4242" s="5">
        <f t="shared" si="660"/>
        <v>0.62530626531326572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58"/>
        <v>25.3</v>
      </c>
      <c r="V4243" s="10">
        <f t="shared" si="659"/>
        <v>135.30000000000001</v>
      </c>
      <c r="W4243" s="2">
        <f>0.082*S4243</f>
        <v>82</v>
      </c>
      <c r="X4243" s="5">
        <f t="shared" si="660"/>
        <v>0.25454545454545452</v>
      </c>
      <c r="Z4243" s="2" t="s">
        <v>3227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hidden="1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58"/>
        <v>43.221600000000002</v>
      </c>
      <c r="V4244" s="2">
        <f t="shared" si="659"/>
        <v>231.14159999999998</v>
      </c>
      <c r="W4244" s="2">
        <f>92.63+1.2</f>
        <v>93.83</v>
      </c>
      <c r="X4244" s="5">
        <f t="shared" si="660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hidden="1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2985</v>
      </c>
      <c r="S4245" s="9">
        <v>1</v>
      </c>
      <c r="T4245" s="10">
        <v>28.38</v>
      </c>
      <c r="U4245" s="2">
        <f t="shared" si="658"/>
        <v>6.5274000000000001</v>
      </c>
      <c r="V4245" s="2">
        <f t="shared" si="659"/>
        <v>34.907399999999996</v>
      </c>
      <c r="W4245" s="2">
        <f>13.715</f>
        <v>13.715</v>
      </c>
      <c r="X4245" s="5">
        <f t="shared" si="660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L4245" s="2"/>
    </row>
    <row r="4246" spans="1:38" hidden="1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58"/>
        <v>21.62</v>
      </c>
      <c r="V4246" s="2">
        <f t="shared" si="659"/>
        <v>115.62</v>
      </c>
      <c r="W4246" s="2">
        <f>T4246*40%</f>
        <v>37.6</v>
      </c>
      <c r="X4246" s="5">
        <f t="shared" si="660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hidden="1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58"/>
        <v>12.65</v>
      </c>
      <c r="V4247" s="2">
        <f t="shared" si="659"/>
        <v>67.650000000000006</v>
      </c>
      <c r="W4247" s="2">
        <f>T4247*50%</f>
        <v>27.5</v>
      </c>
      <c r="X4247" s="5">
        <f t="shared" si="660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hidden="1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58"/>
        <v>20.125</v>
      </c>
      <c r="V4248" s="10">
        <f t="shared" si="659"/>
        <v>107.625</v>
      </c>
      <c r="W4248" s="2">
        <f>T4248*70%</f>
        <v>61.249999999999993</v>
      </c>
      <c r="X4248" s="5">
        <f t="shared" si="660"/>
        <v>0.3000000000000001</v>
      </c>
      <c r="Z4248" s="2" t="s">
        <v>119</v>
      </c>
      <c r="AA4248" s="2" t="s">
        <v>3380</v>
      </c>
      <c r="AI4248" s="2"/>
      <c r="AL4248" s="2"/>
    </row>
    <row r="4249" spans="1:38" hidden="1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658"/>
        <v>59.248000000000005</v>
      </c>
      <c r="V4249" s="10">
        <f t="shared" si="659"/>
        <v>316.84800000000001</v>
      </c>
      <c r="W4249" s="2">
        <f>130.03+6.8</f>
        <v>136.83000000000001</v>
      </c>
      <c r="X4249" s="5">
        <f t="shared" si="660"/>
        <v>0.46882763975155278</v>
      </c>
      <c r="Z4249" s="2" t="s">
        <v>3227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1">T4249-W4249</f>
        <v>120.77000000000001</v>
      </c>
      <c r="AL4249" s="5">
        <f t="shared" ref="AL4249:AL4260" si="662">(T4249-W4249)/T4249</f>
        <v>0.46882763975155278</v>
      </c>
    </row>
    <row r="4250" spans="1:38" hidden="1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3162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658"/>
        <v>95.22</v>
      </c>
      <c r="V4250" s="2">
        <f t="shared" si="659"/>
        <v>509.22</v>
      </c>
      <c r="W4250" s="2">
        <v>270.60000000000002</v>
      </c>
      <c r="X4250" s="5">
        <f t="shared" si="660"/>
        <v>0.34637681159420286</v>
      </c>
      <c r="Z4250" s="2" t="s">
        <v>3227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1"/>
        <v>143.39999999999998</v>
      </c>
      <c r="AL4250" s="5">
        <f t="shared" si="662"/>
        <v>0.34637681159420286</v>
      </c>
    </row>
    <row r="4251" spans="1:38" hidden="1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58"/>
        <v>0.68080000000000007</v>
      </c>
      <c r="V4251" s="10">
        <f t="shared" si="659"/>
        <v>3.6408</v>
      </c>
      <c r="W4251" s="2">
        <f>1.48*S4251</f>
        <v>2.96</v>
      </c>
      <c r="X4251" s="5">
        <f t="shared" si="660"/>
        <v>0</v>
      </c>
      <c r="Z4251" s="2" t="s">
        <v>3227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1"/>
        <v>0</v>
      </c>
      <c r="AL4251" s="5">
        <f t="shared" si="662"/>
        <v>0</v>
      </c>
    </row>
    <row r="4252" spans="1:38" hidden="1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58"/>
        <v>2.0700000000000003</v>
      </c>
      <c r="V4252" s="10">
        <f t="shared" si="659"/>
        <v>11.07</v>
      </c>
      <c r="W4252" s="2">
        <f>3.7358*S4252</f>
        <v>3.7357999999999998</v>
      </c>
      <c r="X4252" s="5">
        <f t="shared" si="660"/>
        <v>0.58491111111111116</v>
      </c>
      <c r="Z4252" s="2" t="s">
        <v>3227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1"/>
        <v>5.2642000000000007</v>
      </c>
      <c r="AL4252" s="5">
        <f t="shared" si="662"/>
        <v>0.58491111111111116</v>
      </c>
    </row>
    <row r="4253" spans="1:38" hidden="1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658"/>
        <v>48.667999999999999</v>
      </c>
      <c r="V4253" s="10">
        <f t="shared" si="659"/>
        <v>260.26799999999997</v>
      </c>
      <c r="W4253" s="2">
        <f>115.92+6.06</f>
        <v>121.98</v>
      </c>
      <c r="X4253" s="5">
        <f t="shared" si="660"/>
        <v>0.42353497164461246</v>
      </c>
      <c r="Z4253" s="2" t="s">
        <v>3227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1"/>
        <v>89.61999999999999</v>
      </c>
      <c r="AL4253" s="5">
        <f t="shared" si="662"/>
        <v>0.42353497164461246</v>
      </c>
    </row>
    <row r="4254" spans="1:38" hidden="1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58"/>
        <v>0.34040000000000004</v>
      </c>
      <c r="V4254" s="10">
        <f t="shared" si="659"/>
        <v>1.8204</v>
      </c>
      <c r="W4254" s="2">
        <f>1.48*S4254</f>
        <v>1.48</v>
      </c>
      <c r="X4254" s="5">
        <f t="shared" si="660"/>
        <v>0</v>
      </c>
      <c r="Z4254" s="2" t="s">
        <v>3227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1"/>
        <v>0</v>
      </c>
      <c r="AL4254" s="5">
        <f t="shared" si="662"/>
        <v>0</v>
      </c>
    </row>
    <row r="4255" spans="1:38" hidden="1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58"/>
        <v>2.99</v>
      </c>
      <c r="V4255" s="10">
        <f t="shared" si="659"/>
        <v>15.99</v>
      </c>
      <c r="W4255" s="2">
        <f>0.082*S4255</f>
        <v>8.2000000000000011</v>
      </c>
      <c r="X4255" s="5">
        <f t="shared" si="660"/>
        <v>0.36923076923076914</v>
      </c>
      <c r="Z4255" s="2" t="s">
        <v>3227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1"/>
        <v>4.7999999999999989</v>
      </c>
      <c r="AL4255" s="5">
        <f t="shared" si="662"/>
        <v>0.36923076923076914</v>
      </c>
    </row>
    <row r="4256" spans="1:38" hidden="1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58"/>
        <v>29.900000000000002</v>
      </c>
      <c r="V4256" s="10">
        <f t="shared" si="659"/>
        <v>159.9</v>
      </c>
      <c r="W4256" s="2">
        <f>0.0914*S4256</f>
        <v>91.399999999999991</v>
      </c>
      <c r="X4256" s="5">
        <f t="shared" si="660"/>
        <v>0.29692307692307701</v>
      </c>
      <c r="Z4256" s="2" t="s">
        <v>3227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1"/>
        <v>38.600000000000009</v>
      </c>
      <c r="AL4256" s="5">
        <f t="shared" si="662"/>
        <v>0.29692307692307701</v>
      </c>
    </row>
    <row r="4257" spans="1:38" hidden="1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3196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58"/>
        <v>46.850999999999999</v>
      </c>
      <c r="V4257" s="10">
        <f t="shared" si="659"/>
        <v>250.55099999999999</v>
      </c>
      <c r="W4257" s="2">
        <f>110.125+11.77</f>
        <v>121.895</v>
      </c>
      <c r="X4257" s="5">
        <f t="shared" si="660"/>
        <v>0.4015954835542464</v>
      </c>
      <c r="Z4257" s="2" t="s">
        <v>3227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1"/>
        <v>81.804999999999993</v>
      </c>
      <c r="AL4257" s="5">
        <f t="shared" si="662"/>
        <v>0.4015954835542464</v>
      </c>
    </row>
    <row r="4258" spans="1:38" hidden="1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58"/>
        <v>0.34040000000000004</v>
      </c>
      <c r="V4258" s="10">
        <f t="shared" si="659"/>
        <v>1.8204</v>
      </c>
      <c r="W4258" s="2">
        <f>1.48*S4258</f>
        <v>1.48</v>
      </c>
      <c r="X4258" s="5">
        <f t="shared" si="660"/>
        <v>0</v>
      </c>
      <c r="Z4258" s="2" t="s">
        <v>3227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1"/>
        <v>0</v>
      </c>
      <c r="AL4258" s="5">
        <f t="shared" si="662"/>
        <v>0</v>
      </c>
    </row>
    <row r="4259" spans="1:38" hidden="1" x14ac:dyDescent="0.2">
      <c r="A4259" s="8">
        <v>2026</v>
      </c>
      <c r="B4259" s="8">
        <v>6</v>
      </c>
      <c r="C4259" s="8" t="s">
        <v>3392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0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1"/>
        <v>120.4966</v>
      </c>
      <c r="AL4259" s="5">
        <f t="shared" si="662"/>
        <v>0.25874296757569254</v>
      </c>
    </row>
    <row r="4260" spans="1:38" hidden="1" x14ac:dyDescent="0.2">
      <c r="A4260" s="8">
        <v>2026</v>
      </c>
      <c r="B4260" s="8">
        <v>6</v>
      </c>
      <c r="C4260" s="8" t="s">
        <v>3378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663">T4260*23%</f>
        <v>5485.5</v>
      </c>
      <c r="V4260" s="2">
        <f t="shared" ref="V4260:V4276" si="664">T4260+U4260</f>
        <v>29335.5</v>
      </c>
      <c r="W4260" s="2">
        <f>16602.97+398</f>
        <v>17000.97</v>
      </c>
      <c r="X4260" s="5">
        <f t="shared" si="660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1"/>
        <v>6849.0299999999988</v>
      </c>
      <c r="AL4260" s="5">
        <f t="shared" si="662"/>
        <v>0.28717106918238988</v>
      </c>
    </row>
    <row r="4261" spans="1:38" hidden="1" x14ac:dyDescent="0.2">
      <c r="A4261" s="8">
        <v>2026</v>
      </c>
      <c r="B4261" s="8">
        <v>6</v>
      </c>
      <c r="C4261" s="8"/>
      <c r="D4261" s="2" t="s">
        <v>3107</v>
      </c>
      <c r="P4261" s="2" t="s">
        <v>114</v>
      </c>
      <c r="Q4261" s="2" t="s">
        <v>3093</v>
      </c>
      <c r="R4261" s="2" t="s">
        <v>3094</v>
      </c>
      <c r="S4261" s="9">
        <v>1</v>
      </c>
      <c r="T4261" s="10">
        <v>750.56</v>
      </c>
      <c r="U4261" s="2">
        <f t="shared" si="663"/>
        <v>172.62879999999998</v>
      </c>
      <c r="V4261" s="2">
        <f t="shared" si="664"/>
        <v>923.1887999999999</v>
      </c>
      <c r="W4261" s="2">
        <f>376.4</f>
        <v>376.4</v>
      </c>
      <c r="X4261" s="5">
        <f t="shared" si="660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hidden="1" x14ac:dyDescent="0.2">
      <c r="A4262" s="8">
        <v>2026</v>
      </c>
      <c r="B4262" s="8">
        <v>6</v>
      </c>
      <c r="C4262" s="8"/>
      <c r="D4262" s="2" t="s">
        <v>3107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63"/>
        <v>12.65</v>
      </c>
      <c r="V4262" s="2">
        <f t="shared" si="664"/>
        <v>67.650000000000006</v>
      </c>
      <c r="W4262" s="2">
        <f>T4262*40%</f>
        <v>22</v>
      </c>
      <c r="X4262" s="5">
        <f t="shared" si="660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65">T4262-W4262</f>
        <v>33</v>
      </c>
      <c r="AL4262" s="5">
        <f t="shared" ref="AL4262:AL4274" si="666">(T4262-W4262)/T4262</f>
        <v>0.6</v>
      </c>
    </row>
    <row r="4263" spans="1:38" hidden="1" x14ac:dyDescent="0.2">
      <c r="A4263" s="8">
        <v>2026</v>
      </c>
      <c r="B4263" s="8">
        <v>6</v>
      </c>
      <c r="C4263" s="8"/>
      <c r="D4263" s="2" t="s">
        <v>3107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63"/>
        <v>12.65</v>
      </c>
      <c r="V4263" s="2">
        <f t="shared" si="664"/>
        <v>67.650000000000006</v>
      </c>
      <c r="W4263" s="2">
        <f>T4263*50%</f>
        <v>27.5</v>
      </c>
      <c r="X4263" s="5">
        <f t="shared" si="660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65"/>
        <v>27.5</v>
      </c>
      <c r="AL4263" s="5">
        <f t="shared" si="666"/>
        <v>0.5</v>
      </c>
    </row>
    <row r="4264" spans="1:38" hidden="1" x14ac:dyDescent="0.2">
      <c r="A4264" s="8">
        <v>2026</v>
      </c>
      <c r="B4264" s="8">
        <v>6</v>
      </c>
      <c r="C4264" s="8" t="s">
        <v>3323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63"/>
        <v>26.220000000000002</v>
      </c>
      <c r="V4264" s="2">
        <f t="shared" si="664"/>
        <v>140.22</v>
      </c>
      <c r="W4264" s="2">
        <f>T4264*40%</f>
        <v>45.6</v>
      </c>
      <c r="X4264" s="5">
        <f t="shared" si="660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65"/>
        <v>68.400000000000006</v>
      </c>
      <c r="AL4264" s="5">
        <f t="shared" si="666"/>
        <v>0.60000000000000009</v>
      </c>
    </row>
    <row r="4265" spans="1:38" hidden="1" x14ac:dyDescent="0.2">
      <c r="A4265" s="8">
        <v>2026</v>
      </c>
      <c r="B4265" s="8">
        <v>6</v>
      </c>
      <c r="C4265" s="8" t="s">
        <v>3323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63"/>
        <v>11.385</v>
      </c>
      <c r="V4265" s="2">
        <f t="shared" si="664"/>
        <v>60.884999999999998</v>
      </c>
      <c r="W4265" s="2">
        <f>T4265*50%</f>
        <v>24.75</v>
      </c>
      <c r="X4265" s="5">
        <f t="shared" si="660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65"/>
        <v>24.75</v>
      </c>
      <c r="AL4265" s="5">
        <f t="shared" si="666"/>
        <v>0.5</v>
      </c>
    </row>
    <row r="4266" spans="1:38" hidden="1" x14ac:dyDescent="0.2">
      <c r="A4266" s="8">
        <v>2026</v>
      </c>
      <c r="B4266" s="8">
        <v>6</v>
      </c>
      <c r="C4266" s="8" t="s">
        <v>3323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63"/>
        <v>137.86199999999999</v>
      </c>
      <c r="V4266" s="2">
        <f t="shared" si="664"/>
        <v>737.26199999999994</v>
      </c>
      <c r="W4266" s="2">
        <v>346.57</v>
      </c>
      <c r="X4266" s="5">
        <f t="shared" si="660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65"/>
        <v>252.82999999999998</v>
      </c>
      <c r="AL4266" s="5">
        <f t="shared" si="666"/>
        <v>0.42180513847180512</v>
      </c>
    </row>
    <row r="4267" spans="1:38" hidden="1" x14ac:dyDescent="0.2">
      <c r="A4267" s="8">
        <v>2026</v>
      </c>
      <c r="B4267" s="8">
        <v>6</v>
      </c>
      <c r="C4267" s="8" t="s">
        <v>3323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663"/>
        <v>1607.7</v>
      </c>
      <c r="V4267" s="2">
        <f t="shared" si="664"/>
        <v>8597.7000000000007</v>
      </c>
      <c r="W4267" s="2">
        <f>4893.23+171</f>
        <v>5064.2299999999996</v>
      </c>
      <c r="X4267" s="5">
        <f t="shared" si="660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65"/>
        <v>1925.7700000000004</v>
      </c>
      <c r="AL4267" s="5">
        <f t="shared" si="666"/>
        <v>0.27550357653791135</v>
      </c>
    </row>
    <row r="4268" spans="1:38" hidden="1" x14ac:dyDescent="0.2">
      <c r="A4268" s="8">
        <v>2026</v>
      </c>
      <c r="B4268" s="8">
        <v>6</v>
      </c>
      <c r="C4268" s="8" t="s">
        <v>3323</v>
      </c>
      <c r="D4268" s="2" t="s">
        <v>3104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663"/>
        <v>160.839</v>
      </c>
      <c r="V4268" s="2">
        <f t="shared" si="664"/>
        <v>860.1389999999999</v>
      </c>
      <c r="W4268" s="2">
        <v>345.20339999999999</v>
      </c>
      <c r="X4268" s="5">
        <f t="shared" si="660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65"/>
        <v>354.09659999999997</v>
      </c>
      <c r="AL4268" s="5">
        <f t="shared" si="666"/>
        <v>0.50635864435864431</v>
      </c>
    </row>
    <row r="4269" spans="1:38" hidden="1" x14ac:dyDescent="0.2">
      <c r="A4269" s="8">
        <v>2026</v>
      </c>
      <c r="B4269" s="8">
        <v>6</v>
      </c>
      <c r="C4269" s="8" t="s">
        <v>3323</v>
      </c>
      <c r="D4269" s="2" t="s">
        <v>3104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63"/>
        <v>34.96</v>
      </c>
      <c r="V4269" s="2">
        <f t="shared" si="664"/>
        <v>186.96</v>
      </c>
      <c r="W4269" s="2">
        <f>T4269*40%</f>
        <v>60.800000000000004</v>
      </c>
      <c r="X4269" s="5">
        <f t="shared" si="660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65"/>
        <v>91.199999999999989</v>
      </c>
      <c r="AL4269" s="5">
        <f t="shared" si="666"/>
        <v>0.6</v>
      </c>
    </row>
    <row r="4270" spans="1:38" hidden="1" x14ac:dyDescent="0.2">
      <c r="A4270" s="8">
        <v>2026</v>
      </c>
      <c r="B4270" s="8">
        <v>6</v>
      </c>
      <c r="C4270" s="8" t="s">
        <v>3323</v>
      </c>
      <c r="D4270" s="2" t="s">
        <v>3104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63"/>
        <v>12.65</v>
      </c>
      <c r="V4270" s="2">
        <f t="shared" si="664"/>
        <v>67.650000000000006</v>
      </c>
      <c r="W4270" s="2">
        <f>T4270*50%</f>
        <v>27.5</v>
      </c>
      <c r="X4270" s="5">
        <f t="shared" si="660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65"/>
        <v>27.5</v>
      </c>
      <c r="AL4270" s="5">
        <f t="shared" si="666"/>
        <v>0.5</v>
      </c>
    </row>
    <row r="4271" spans="1:38" hidden="1" x14ac:dyDescent="0.2">
      <c r="A4271" s="8">
        <v>2026</v>
      </c>
      <c r="B4271" s="8">
        <v>6</v>
      </c>
      <c r="C4271" s="8"/>
      <c r="D4271" s="2" t="s">
        <v>2188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663"/>
        <v>457.70000000000005</v>
      </c>
      <c r="V4271" s="10">
        <f t="shared" si="664"/>
        <v>2447.6999999999998</v>
      </c>
      <c r="W4271" s="2">
        <v>1492.7</v>
      </c>
      <c r="X4271" s="5">
        <f t="shared" si="660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665"/>
        <v>497.29999999999995</v>
      </c>
      <c r="AL4271" s="5">
        <f t="shared" si="666"/>
        <v>0.24989949748743717</v>
      </c>
    </row>
    <row r="4272" spans="1:38" hidden="1" x14ac:dyDescent="0.2">
      <c r="A4272" s="8">
        <v>2026</v>
      </c>
      <c r="B4272" s="8">
        <v>6</v>
      </c>
      <c r="C4272" s="8"/>
      <c r="D4272" s="2" t="s">
        <v>2188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663"/>
        <v>457.70000000000005</v>
      </c>
      <c r="V4272" s="10">
        <f t="shared" si="664"/>
        <v>2447.6999999999998</v>
      </c>
      <c r="W4272" s="2">
        <v>1578</v>
      </c>
      <c r="X4272" s="5">
        <f t="shared" si="660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665"/>
        <v>412</v>
      </c>
      <c r="AL4272" s="5">
        <f t="shared" si="666"/>
        <v>0.20703517587939699</v>
      </c>
    </row>
    <row r="4273" spans="1:38" hidden="1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663"/>
        <v>966</v>
      </c>
      <c r="V4273" s="10">
        <f t="shared" si="664"/>
        <v>5166</v>
      </c>
      <c r="W4273" s="2">
        <f>3203.85+43</f>
        <v>3246.85</v>
      </c>
      <c r="X4273" s="5">
        <f t="shared" si="660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665"/>
        <v>953.15000000000009</v>
      </c>
      <c r="AL4273" s="5">
        <f t="shared" si="666"/>
        <v>0.22694047619047622</v>
      </c>
    </row>
    <row r="4274" spans="1:38" hidden="1" x14ac:dyDescent="0.2">
      <c r="A4274" s="8">
        <v>2026</v>
      </c>
      <c r="B4274" s="8">
        <v>6</v>
      </c>
      <c r="C4274" s="8"/>
      <c r="D4274" s="2" t="s">
        <v>3103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663"/>
        <v>494.5</v>
      </c>
      <c r="V4274" s="10">
        <f t="shared" si="664"/>
        <v>2644.5</v>
      </c>
      <c r="W4274" s="2">
        <v>1578</v>
      </c>
      <c r="X4274" s="5">
        <f t="shared" si="660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665"/>
        <v>572</v>
      </c>
      <c r="AL4274" s="5">
        <f t="shared" si="666"/>
        <v>0.26604651162790699</v>
      </c>
    </row>
    <row r="4275" spans="1:38" hidden="1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3095</v>
      </c>
      <c r="R4275" s="2" t="s">
        <v>3096</v>
      </c>
      <c r="S4275" s="9">
        <v>-4</v>
      </c>
      <c r="T4275" s="10">
        <v>-800</v>
      </c>
      <c r="U4275" s="2">
        <f t="shared" si="663"/>
        <v>-184</v>
      </c>
      <c r="V4275" s="10">
        <f t="shared" si="664"/>
        <v>-984</v>
      </c>
      <c r="W4275" s="2">
        <f>124*4</f>
        <v>496</v>
      </c>
      <c r="X4275" s="18">
        <f>SIGN(T4275)*((ABS(T4275)-W4275)/ABS(T4275))</f>
        <v>-0.38</v>
      </c>
      <c r="Z4275" s="2" t="s">
        <v>3227</v>
      </c>
      <c r="AA4275" s="2" t="s">
        <v>3383</v>
      </c>
      <c r="AB4275" s="2" t="s">
        <v>3389</v>
      </c>
      <c r="AC4275" s="2" t="s">
        <v>3390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hidden="1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3097</v>
      </c>
      <c r="R4276" s="2" t="s">
        <v>3098</v>
      </c>
      <c r="S4276" s="9">
        <v>-4</v>
      </c>
      <c r="T4276" s="10">
        <v>-714.4</v>
      </c>
      <c r="U4276" s="2">
        <f t="shared" si="663"/>
        <v>-164.31200000000001</v>
      </c>
      <c r="V4276" s="10">
        <f t="shared" si="664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3227</v>
      </c>
      <c r="AA4276" s="2" t="s">
        <v>3383</v>
      </c>
      <c r="AB4276" s="2" t="s">
        <v>3389</v>
      </c>
      <c r="AC4276" s="2" t="s">
        <v>3390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hidden="1" x14ac:dyDescent="0.2">
      <c r="A4277" s="8">
        <v>2026</v>
      </c>
      <c r="B4277" s="8">
        <v>6</v>
      </c>
      <c r="C4277" s="8" t="s">
        <v>3294</v>
      </c>
      <c r="D4277" s="2" t="s">
        <v>3398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3229</v>
      </c>
      <c r="P4277" s="2" t="s">
        <v>282</v>
      </c>
      <c r="Q4277" s="6" t="s">
        <v>3228</v>
      </c>
      <c r="R4277" s="2" t="s">
        <v>1155</v>
      </c>
      <c r="S4277" s="8">
        <v>1</v>
      </c>
      <c r="T4277" s="2">
        <v>2900</v>
      </c>
      <c r="U4277" s="2">
        <f t="shared" si="663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667">T4277-W4277</f>
        <v>710</v>
      </c>
      <c r="AL4277" s="5">
        <f>(T4277-W4277)/T4277</f>
        <v>0.24482758620689654</v>
      </c>
    </row>
    <row r="4278" spans="1:38" hidden="1" x14ac:dyDescent="0.2">
      <c r="A4278" s="8">
        <v>2026</v>
      </c>
      <c r="B4278" s="8">
        <v>6</v>
      </c>
      <c r="C4278" s="8" t="s">
        <v>3294</v>
      </c>
      <c r="D4278" s="2" t="s">
        <v>3398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3229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667"/>
        <v>0</v>
      </c>
      <c r="AL4278" s="18">
        <v>-1</v>
      </c>
    </row>
    <row r="4279" spans="1:38" hidden="1" x14ac:dyDescent="0.2">
      <c r="A4279" s="2">
        <v>2026</v>
      </c>
      <c r="B4279" s="2">
        <v>7</v>
      </c>
      <c r="C4279" s="2" t="s">
        <v>3295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3270</v>
      </c>
      <c r="M4279" s="2" t="s">
        <v>41</v>
      </c>
      <c r="O4279" s="2" t="s">
        <v>3267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68">T4279*23%</f>
        <v>5.7960000000000003</v>
      </c>
      <c r="V4279" s="12">
        <f t="shared" ref="V4279:V4310" si="669">T4279+U4279</f>
        <v>30.995999999999999</v>
      </c>
      <c r="W4279" s="2">
        <v>14.535</v>
      </c>
      <c r="X4279" s="5">
        <f t="shared" ref="X4279:X4310" si="670">(T4279-W4279)/T4279</f>
        <v>0.42321428571428571</v>
      </c>
      <c r="Z4279" s="2" t="s">
        <v>3227</v>
      </c>
      <c r="AA4279" s="2" t="s">
        <v>46</v>
      </c>
      <c r="AB4279" s="2" t="s">
        <v>47</v>
      </c>
      <c r="AC4279" s="2" t="s">
        <v>57</v>
      </c>
      <c r="AK4279" s="2">
        <f t="shared" si="667"/>
        <v>10.664999999999999</v>
      </c>
      <c r="AL4279" s="5">
        <f t="shared" ref="AL4279:AL4310" si="671">(T4279-W4279)/T4279</f>
        <v>0.42321428571428571</v>
      </c>
    </row>
    <row r="4280" spans="1:38" hidden="1" x14ac:dyDescent="0.2">
      <c r="A4280" s="2">
        <v>2026</v>
      </c>
      <c r="B4280" s="2">
        <v>7</v>
      </c>
      <c r="C4280" s="2" t="s">
        <v>3295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3270</v>
      </c>
      <c r="M4280" s="2" t="s">
        <v>41</v>
      </c>
      <c r="O4280" s="2" t="s">
        <v>3267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68"/>
        <v>4.83</v>
      </c>
      <c r="V4280" s="12">
        <f t="shared" si="669"/>
        <v>25.83</v>
      </c>
      <c r="W4280" s="2">
        <f>9.3*S4280</f>
        <v>9.3000000000000007</v>
      </c>
      <c r="X4280" s="5">
        <f t="shared" si="670"/>
        <v>0.55714285714285716</v>
      </c>
      <c r="Z4280" s="2" t="s">
        <v>3227</v>
      </c>
      <c r="AA4280" s="2" t="s">
        <v>46</v>
      </c>
      <c r="AB4280" s="2" t="s">
        <v>47</v>
      </c>
      <c r="AC4280" s="2" t="s">
        <v>57</v>
      </c>
      <c r="AK4280" s="2">
        <f t="shared" si="667"/>
        <v>11.7</v>
      </c>
      <c r="AL4280" s="5">
        <f t="shared" si="671"/>
        <v>0.55714285714285716</v>
      </c>
    </row>
    <row r="4281" spans="1:38" hidden="1" x14ac:dyDescent="0.2">
      <c r="A4281" s="2">
        <v>2026</v>
      </c>
      <c r="B4281" s="2">
        <v>7</v>
      </c>
      <c r="C4281" s="2" t="s">
        <v>3295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3270</v>
      </c>
      <c r="M4281" s="2" t="s">
        <v>41</v>
      </c>
      <c r="O4281" s="2" t="s">
        <v>3267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68"/>
        <v>2.99</v>
      </c>
      <c r="V4281" s="12">
        <f t="shared" si="669"/>
        <v>15.99</v>
      </c>
      <c r="W4281" s="2">
        <f>6.6267*S4281</f>
        <v>6.6266999999999996</v>
      </c>
      <c r="X4281" s="5">
        <f t="shared" si="670"/>
        <v>0.49025384615384621</v>
      </c>
      <c r="Z4281" s="2" t="s">
        <v>3227</v>
      </c>
      <c r="AA4281" s="2" t="s">
        <v>46</v>
      </c>
      <c r="AB4281" s="2" t="s">
        <v>47</v>
      </c>
      <c r="AC4281" s="2" t="s">
        <v>57</v>
      </c>
      <c r="AK4281" s="2">
        <f t="shared" si="667"/>
        <v>6.3733000000000004</v>
      </c>
      <c r="AL4281" s="5">
        <f t="shared" si="671"/>
        <v>0.49025384615384621</v>
      </c>
    </row>
    <row r="4282" spans="1:38" hidden="1" x14ac:dyDescent="0.2">
      <c r="A4282" s="2">
        <v>2026</v>
      </c>
      <c r="B4282" s="2">
        <v>7</v>
      </c>
      <c r="C4282" s="2" t="s">
        <v>3295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3270</v>
      </c>
      <c r="M4282" s="2" t="s">
        <v>80</v>
      </c>
      <c r="O4282" s="2" t="s">
        <v>3268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68"/>
        <v>4.1400000000000006</v>
      </c>
      <c r="V4282" s="12">
        <f t="shared" si="669"/>
        <v>22.14</v>
      </c>
      <c r="W4282" s="2">
        <f>14.4*S4282</f>
        <v>14.4</v>
      </c>
      <c r="X4282" s="5">
        <f t="shared" si="670"/>
        <v>0.19999999999999998</v>
      </c>
      <c r="Z4282" s="2" t="s">
        <v>3227</v>
      </c>
      <c r="AA4282" s="2" t="s">
        <v>46</v>
      </c>
      <c r="AB4282" s="2" t="s">
        <v>47</v>
      </c>
      <c r="AC4282" s="2" t="s">
        <v>57</v>
      </c>
      <c r="AK4282" s="2">
        <f t="shared" si="667"/>
        <v>3.5999999999999996</v>
      </c>
      <c r="AL4282" s="5">
        <f t="shared" si="671"/>
        <v>0.19999999999999998</v>
      </c>
    </row>
    <row r="4283" spans="1:38" hidden="1" x14ac:dyDescent="0.2">
      <c r="A4283" s="2">
        <v>2026</v>
      </c>
      <c r="B4283" s="2">
        <v>7</v>
      </c>
      <c r="C4283" s="2" t="s">
        <v>3295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3270</v>
      </c>
      <c r="M4283" s="2" t="s">
        <v>80</v>
      </c>
      <c r="O4283" s="2" t="s">
        <v>3268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68"/>
        <v>6.9</v>
      </c>
      <c r="V4283" s="12">
        <f t="shared" si="669"/>
        <v>36.9</v>
      </c>
      <c r="W4283" s="2">
        <f>10.6*S4283</f>
        <v>21.2</v>
      </c>
      <c r="X4283" s="5">
        <f t="shared" si="670"/>
        <v>0.29333333333333333</v>
      </c>
      <c r="Z4283" s="2" t="s">
        <v>3227</v>
      </c>
      <c r="AA4283" s="2" t="s">
        <v>46</v>
      </c>
      <c r="AB4283" s="2" t="s">
        <v>56</v>
      </c>
      <c r="AC4283" s="2" t="s">
        <v>57</v>
      </c>
      <c r="AK4283" s="2">
        <f t="shared" si="667"/>
        <v>8.8000000000000007</v>
      </c>
      <c r="AL4283" s="5">
        <f t="shared" si="671"/>
        <v>0.29333333333333333</v>
      </c>
    </row>
    <row r="4284" spans="1:38" hidden="1" x14ac:dyDescent="0.2">
      <c r="A4284" s="2">
        <v>2026</v>
      </c>
      <c r="B4284" s="2">
        <v>7</v>
      </c>
      <c r="C4284" s="2" t="s">
        <v>3295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3270</v>
      </c>
      <c r="M4284" s="2" t="s">
        <v>80</v>
      </c>
      <c r="O4284" s="2" t="s">
        <v>3268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68"/>
        <v>5.5200000000000005</v>
      </c>
      <c r="V4284" s="12">
        <f t="shared" si="669"/>
        <v>29.52</v>
      </c>
      <c r="W4284" s="2">
        <f>8*S4284</f>
        <v>16</v>
      </c>
      <c r="X4284" s="5">
        <f t="shared" si="670"/>
        <v>0.33333333333333331</v>
      </c>
      <c r="Z4284" s="2" t="s">
        <v>3227</v>
      </c>
      <c r="AA4284" s="2" t="s">
        <v>46</v>
      </c>
      <c r="AB4284" s="2" t="s">
        <v>47</v>
      </c>
      <c r="AC4284" s="2" t="s">
        <v>57</v>
      </c>
      <c r="AK4284" s="2">
        <f t="shared" si="667"/>
        <v>8</v>
      </c>
      <c r="AL4284" s="5">
        <f t="shared" si="671"/>
        <v>0.33333333333333331</v>
      </c>
    </row>
    <row r="4285" spans="1:38" hidden="1" x14ac:dyDescent="0.2">
      <c r="A4285" s="2">
        <v>2026</v>
      </c>
      <c r="B4285" s="2">
        <v>7</v>
      </c>
      <c r="C4285" s="2" t="s">
        <v>3295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3270</v>
      </c>
      <c r="M4285" s="2" t="s">
        <v>80</v>
      </c>
      <c r="O4285" s="2" t="s">
        <v>3269</v>
      </c>
      <c r="P4285" s="2" t="s">
        <v>1038</v>
      </c>
      <c r="Q4285" s="2" t="s">
        <v>3265</v>
      </c>
      <c r="R4285" s="2" t="s">
        <v>3266</v>
      </c>
      <c r="S4285" s="13">
        <v>1</v>
      </c>
      <c r="T4285" s="14">
        <v>187</v>
      </c>
      <c r="U4285" s="2">
        <f t="shared" si="668"/>
        <v>43.010000000000005</v>
      </c>
      <c r="V4285" s="12">
        <f t="shared" si="669"/>
        <v>230.01</v>
      </c>
      <c r="W4285" s="2">
        <v>141.16</v>
      </c>
      <c r="X4285" s="5">
        <f t="shared" si="670"/>
        <v>0.24513368983957221</v>
      </c>
      <c r="Z4285" s="2" t="s">
        <v>3227</v>
      </c>
      <c r="AA4285" s="2" t="s">
        <v>75</v>
      </c>
      <c r="AB4285" s="2" t="s">
        <v>76</v>
      </c>
      <c r="AC4285" s="2" t="s">
        <v>1038</v>
      </c>
      <c r="AK4285" s="2">
        <f t="shared" si="667"/>
        <v>45.84</v>
      </c>
      <c r="AL4285" s="5">
        <f t="shared" si="671"/>
        <v>0.24513368983957221</v>
      </c>
    </row>
    <row r="4286" spans="1:38" hidden="1" x14ac:dyDescent="0.2">
      <c r="A4286" s="2">
        <v>2026</v>
      </c>
      <c r="B4286" s="2">
        <v>7</v>
      </c>
      <c r="C4286" s="2" t="s">
        <v>3295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3270</v>
      </c>
      <c r="M4286" s="2" t="s">
        <v>80</v>
      </c>
      <c r="O4286" s="2" t="s">
        <v>3269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68"/>
        <v>0.34040000000000004</v>
      </c>
      <c r="V4286" s="12">
        <f t="shared" si="669"/>
        <v>1.8204</v>
      </c>
      <c r="W4286" s="2">
        <v>1.48</v>
      </c>
      <c r="X4286" s="5">
        <f t="shared" si="670"/>
        <v>0</v>
      </c>
      <c r="Z4286" s="2" t="s">
        <v>3227</v>
      </c>
      <c r="AA4286" s="2" t="s">
        <v>96</v>
      </c>
      <c r="AB4286" s="2" t="s">
        <v>76</v>
      </c>
      <c r="AC4286" s="2" t="s">
        <v>93</v>
      </c>
      <c r="AK4286" s="2">
        <f t="shared" si="667"/>
        <v>0</v>
      </c>
      <c r="AL4286" s="5">
        <f t="shared" si="671"/>
        <v>0</v>
      </c>
    </row>
    <row r="4287" spans="1:38" hidden="1" x14ac:dyDescent="0.2">
      <c r="A4287" s="2">
        <v>2026</v>
      </c>
      <c r="B4287" s="2">
        <v>7</v>
      </c>
      <c r="C4287" s="2" t="s">
        <v>3295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3279</v>
      </c>
      <c r="P4287" s="2" t="s">
        <v>72</v>
      </c>
      <c r="Q4287" s="2" t="s">
        <v>3028</v>
      </c>
      <c r="R4287" s="2" t="s">
        <v>331</v>
      </c>
      <c r="S4287" s="13">
        <v>1</v>
      </c>
      <c r="T4287" s="14">
        <v>220</v>
      </c>
      <c r="U4287" s="2">
        <f t="shared" si="668"/>
        <v>50.6</v>
      </c>
      <c r="V4287" s="12">
        <f t="shared" si="669"/>
        <v>270.60000000000002</v>
      </c>
      <c r="W4287" s="2">
        <v>113.4</v>
      </c>
      <c r="X4287" s="5">
        <f t="shared" si="670"/>
        <v>0.4845454545454545</v>
      </c>
      <c r="Z4287" s="2" t="s">
        <v>3227</v>
      </c>
      <c r="AA4287" s="2" t="s">
        <v>75</v>
      </c>
      <c r="AB4287" s="2" t="s">
        <v>76</v>
      </c>
      <c r="AC4287" s="2" t="s">
        <v>77</v>
      </c>
      <c r="AK4287" s="2">
        <f t="shared" si="667"/>
        <v>106.6</v>
      </c>
      <c r="AL4287" s="5">
        <f t="shared" si="671"/>
        <v>0.4845454545454545</v>
      </c>
    </row>
    <row r="4288" spans="1:38" hidden="1" x14ac:dyDescent="0.2">
      <c r="A4288" s="2">
        <v>2026</v>
      </c>
      <c r="B4288" s="2">
        <v>7</v>
      </c>
      <c r="C4288" s="2" t="s">
        <v>3295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3279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68"/>
        <v>0.34040000000000004</v>
      </c>
      <c r="V4288" s="12">
        <f t="shared" si="669"/>
        <v>1.8204</v>
      </c>
      <c r="W4288" s="2">
        <v>1.48</v>
      </c>
      <c r="X4288" s="5">
        <f t="shared" si="670"/>
        <v>0</v>
      </c>
      <c r="Z4288" s="2" t="s">
        <v>3227</v>
      </c>
      <c r="AA4288" s="2" t="s">
        <v>96</v>
      </c>
      <c r="AB4288" s="2" t="s">
        <v>76</v>
      </c>
      <c r="AC4288" s="2" t="s">
        <v>93</v>
      </c>
      <c r="AK4288" s="2">
        <f t="shared" si="667"/>
        <v>0</v>
      </c>
      <c r="AL4288" s="5">
        <f t="shared" si="671"/>
        <v>0</v>
      </c>
    </row>
    <row r="4289" spans="1:38" hidden="1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3285</v>
      </c>
      <c r="L4289" s="2" t="s">
        <v>339</v>
      </c>
      <c r="M4289" s="2" t="s">
        <v>40</v>
      </c>
      <c r="O4289" s="2" t="s">
        <v>3286</v>
      </c>
      <c r="P4289" s="2" t="s">
        <v>282</v>
      </c>
      <c r="Q4289" s="2" t="s">
        <v>2997</v>
      </c>
      <c r="R4289" s="2" t="s">
        <v>2998</v>
      </c>
      <c r="S4289" s="13">
        <v>1</v>
      </c>
      <c r="T4289" s="14">
        <v>1190</v>
      </c>
      <c r="U4289" s="2">
        <f t="shared" si="668"/>
        <v>273.7</v>
      </c>
      <c r="V4289" s="12">
        <f t="shared" si="669"/>
        <v>1463.7</v>
      </c>
      <c r="W4289" s="2">
        <v>773.5</v>
      </c>
      <c r="X4289" s="5">
        <f t="shared" si="670"/>
        <v>0.35</v>
      </c>
      <c r="Z4289" s="2" t="s">
        <v>117</v>
      </c>
      <c r="AA4289" s="2" t="s">
        <v>181</v>
      </c>
      <c r="AB4289" s="2" t="s">
        <v>3381</v>
      </c>
      <c r="AC4289" s="2" t="s">
        <v>1327</v>
      </c>
      <c r="AK4289" s="2">
        <f t="shared" si="667"/>
        <v>416.5</v>
      </c>
      <c r="AL4289" s="5">
        <f t="shared" si="671"/>
        <v>0.35</v>
      </c>
    </row>
    <row r="4290" spans="1:38" hidden="1" x14ac:dyDescent="0.2">
      <c r="A4290" s="2">
        <v>2026</v>
      </c>
      <c r="B4290" s="2">
        <v>7</v>
      </c>
      <c r="C4290" s="2" t="s">
        <v>3295</v>
      </c>
      <c r="D4290" s="2" t="s">
        <v>3271</v>
      </c>
      <c r="E4290" s="2" t="s">
        <v>38</v>
      </c>
      <c r="F4290" s="2" t="s">
        <v>39</v>
      </c>
      <c r="H4290" s="2" t="s">
        <v>290</v>
      </c>
      <c r="I4290" s="2" t="s">
        <v>3281</v>
      </c>
      <c r="L4290" s="2" t="s">
        <v>339</v>
      </c>
      <c r="M4290" s="2" t="s">
        <v>80</v>
      </c>
      <c r="O4290" s="2" t="s">
        <v>3280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668"/>
        <v>52.9529</v>
      </c>
      <c r="V4290" s="12">
        <f t="shared" si="669"/>
        <v>283.18290000000002</v>
      </c>
      <c r="W4290" s="2">
        <f>115.92+6.06</f>
        <v>121.98</v>
      </c>
      <c r="X4290" s="5">
        <f t="shared" si="670"/>
        <v>0.47018199192112231</v>
      </c>
      <c r="Z4290" s="2" t="s">
        <v>3227</v>
      </c>
      <c r="AA4290" s="2" t="s">
        <v>75</v>
      </c>
      <c r="AB4290" s="2" t="s">
        <v>76</v>
      </c>
      <c r="AC4290" s="2" t="s">
        <v>77</v>
      </c>
      <c r="AK4290" s="2">
        <f t="shared" si="667"/>
        <v>108.24999999999999</v>
      </c>
      <c r="AL4290" s="5">
        <f t="shared" si="671"/>
        <v>0.47018199192112231</v>
      </c>
    </row>
    <row r="4291" spans="1:38" hidden="1" x14ac:dyDescent="0.2">
      <c r="A4291" s="2">
        <v>2026</v>
      </c>
      <c r="B4291" s="2">
        <v>7</v>
      </c>
      <c r="C4291" s="2" t="s">
        <v>3295</v>
      </c>
      <c r="D4291" s="2" t="s">
        <v>3271</v>
      </c>
      <c r="E4291" s="2" t="s">
        <v>38</v>
      </c>
      <c r="F4291" s="2" t="s">
        <v>39</v>
      </c>
      <c r="H4291" s="2" t="s">
        <v>290</v>
      </c>
      <c r="I4291" s="2" t="s">
        <v>3281</v>
      </c>
      <c r="L4291" s="2" t="s">
        <v>339</v>
      </c>
      <c r="M4291" s="2" t="s">
        <v>80</v>
      </c>
      <c r="O4291" s="2" t="s">
        <v>3280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68"/>
        <v>0.34040000000000004</v>
      </c>
      <c r="V4291" s="12">
        <f t="shared" si="669"/>
        <v>1.8204</v>
      </c>
      <c r="W4291" s="2">
        <v>1.48</v>
      </c>
      <c r="X4291" s="5">
        <f t="shared" si="670"/>
        <v>0</v>
      </c>
      <c r="Z4291" s="2" t="s">
        <v>3227</v>
      </c>
      <c r="AA4291" s="2" t="s">
        <v>96</v>
      </c>
      <c r="AB4291" s="2" t="s">
        <v>76</v>
      </c>
      <c r="AC4291" s="2" t="s">
        <v>93</v>
      </c>
      <c r="AK4291" s="2">
        <f t="shared" si="667"/>
        <v>0</v>
      </c>
      <c r="AL4291" s="5">
        <f t="shared" si="671"/>
        <v>0</v>
      </c>
    </row>
    <row r="4292" spans="1:38" hidden="1" x14ac:dyDescent="0.2">
      <c r="A4292" s="2">
        <v>2026</v>
      </c>
      <c r="B4292" s="2">
        <v>7</v>
      </c>
      <c r="D4292" s="2" t="s">
        <v>3272</v>
      </c>
      <c r="E4292" s="2" t="s">
        <v>752</v>
      </c>
      <c r="F4292" s="2" t="s">
        <v>918</v>
      </c>
      <c r="H4292" s="2" t="s">
        <v>40</v>
      </c>
      <c r="I4292" s="2" t="s">
        <v>3287</v>
      </c>
      <c r="L4292" s="2" t="s">
        <v>99</v>
      </c>
      <c r="M4292" s="2" t="s">
        <v>40</v>
      </c>
      <c r="O4292" s="2" t="s">
        <v>3288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668"/>
        <v>160.839</v>
      </c>
      <c r="V4292" s="12">
        <f t="shared" si="669"/>
        <v>860.1389999999999</v>
      </c>
      <c r="W4292" s="2">
        <v>345.20339999999999</v>
      </c>
      <c r="X4292" s="5">
        <f t="shared" si="670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67"/>
        <v>354.09659999999997</v>
      </c>
      <c r="AL4292" s="5">
        <f t="shared" si="671"/>
        <v>0.50635864435864431</v>
      </c>
    </row>
    <row r="4293" spans="1:38" hidden="1" x14ac:dyDescent="0.2">
      <c r="A4293" s="2">
        <v>2026</v>
      </c>
      <c r="B4293" s="2">
        <v>7</v>
      </c>
      <c r="D4293" s="2" t="s">
        <v>3272</v>
      </c>
      <c r="E4293" s="2" t="s">
        <v>752</v>
      </c>
      <c r="F4293" s="2" t="s">
        <v>918</v>
      </c>
      <c r="H4293" s="2" t="s">
        <v>40</v>
      </c>
      <c r="I4293" s="2" t="s">
        <v>3287</v>
      </c>
      <c r="L4293" s="2" t="s">
        <v>99</v>
      </c>
      <c r="M4293" s="2" t="s">
        <v>40</v>
      </c>
      <c r="O4293" s="2" t="s">
        <v>3288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68"/>
        <v>12.65</v>
      </c>
      <c r="V4293" s="12">
        <f t="shared" si="669"/>
        <v>67.650000000000006</v>
      </c>
      <c r="W4293" s="2">
        <f>T4293*40%</f>
        <v>22</v>
      </c>
      <c r="X4293" s="5">
        <f t="shared" si="670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67"/>
        <v>33</v>
      </c>
      <c r="AL4293" s="5">
        <f t="shared" si="671"/>
        <v>0.6</v>
      </c>
    </row>
    <row r="4294" spans="1:38" hidden="1" x14ac:dyDescent="0.2">
      <c r="A4294" s="2">
        <v>2026</v>
      </c>
      <c r="B4294" s="2">
        <v>7</v>
      </c>
      <c r="D4294" s="2" t="s">
        <v>3272</v>
      </c>
      <c r="E4294" s="2" t="s">
        <v>752</v>
      </c>
      <c r="F4294" s="2" t="s">
        <v>918</v>
      </c>
      <c r="H4294" s="2" t="s">
        <v>40</v>
      </c>
      <c r="I4294" s="2" t="s">
        <v>3287</v>
      </c>
      <c r="L4294" s="2" t="s">
        <v>99</v>
      </c>
      <c r="M4294" s="2" t="s">
        <v>40</v>
      </c>
      <c r="O4294" s="2" t="s">
        <v>3288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68"/>
        <v>6.3250000000000002</v>
      </c>
      <c r="V4294" s="12">
        <f t="shared" si="669"/>
        <v>33.825000000000003</v>
      </c>
      <c r="W4294" s="2">
        <f>T4294*50%</f>
        <v>13.75</v>
      </c>
      <c r="X4294" s="5">
        <f t="shared" si="670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67"/>
        <v>13.75</v>
      </c>
      <c r="AL4294" s="5">
        <f t="shared" si="671"/>
        <v>0.5</v>
      </c>
    </row>
    <row r="4295" spans="1:38" hidden="1" x14ac:dyDescent="0.2">
      <c r="A4295" s="2">
        <v>2026</v>
      </c>
      <c r="B4295" s="2">
        <v>7</v>
      </c>
      <c r="C4295" s="2" t="s">
        <v>3295</v>
      </c>
      <c r="D4295" s="2" t="s">
        <v>3273</v>
      </c>
      <c r="E4295" s="2" t="s">
        <v>108</v>
      </c>
      <c r="F4295" s="2" t="s">
        <v>477</v>
      </c>
      <c r="H4295" s="2" t="s">
        <v>290</v>
      </c>
      <c r="I4295" s="2" t="s">
        <v>3289</v>
      </c>
      <c r="L4295" s="2" t="s">
        <v>293</v>
      </c>
      <c r="M4295" s="2" t="s">
        <v>80</v>
      </c>
      <c r="O4295" s="2" t="s">
        <v>3290</v>
      </c>
      <c r="P4295" s="2" t="s">
        <v>72</v>
      </c>
      <c r="Q4295" s="2" t="s">
        <v>3274</v>
      </c>
      <c r="R4295" s="2" t="s">
        <v>307</v>
      </c>
      <c r="S4295" s="13">
        <v>1</v>
      </c>
      <c r="T4295" s="14">
        <v>220</v>
      </c>
      <c r="U4295" s="2">
        <f t="shared" si="668"/>
        <v>50.6</v>
      </c>
      <c r="V4295" s="12">
        <f t="shared" si="669"/>
        <v>270.60000000000002</v>
      </c>
      <c r="W4295" s="2">
        <v>119.95</v>
      </c>
      <c r="X4295" s="5">
        <f t="shared" si="670"/>
        <v>0.45477272727272727</v>
      </c>
      <c r="Z4295" s="2" t="s">
        <v>3227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67"/>
        <v>100.05</v>
      </c>
      <c r="AL4295" s="5">
        <f t="shared" si="671"/>
        <v>0.45477272727272727</v>
      </c>
    </row>
    <row r="4296" spans="1:38" hidden="1" x14ac:dyDescent="0.2">
      <c r="A4296" s="2">
        <v>2026</v>
      </c>
      <c r="B4296" s="2">
        <v>7</v>
      </c>
      <c r="C4296" s="2" t="s">
        <v>3295</v>
      </c>
      <c r="D4296" s="2" t="s">
        <v>3273</v>
      </c>
      <c r="E4296" s="2" t="s">
        <v>108</v>
      </c>
      <c r="F4296" s="2" t="s">
        <v>477</v>
      </c>
      <c r="H4296" s="2" t="s">
        <v>290</v>
      </c>
      <c r="I4296" s="2" t="s">
        <v>3289</v>
      </c>
      <c r="L4296" s="2" t="s">
        <v>293</v>
      </c>
      <c r="M4296" s="2" t="s">
        <v>80</v>
      </c>
      <c r="O4296" s="2" t="s">
        <v>3290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68"/>
        <v>0.34040000000000004</v>
      </c>
      <c r="V4296" s="12">
        <f t="shared" si="669"/>
        <v>1.8204</v>
      </c>
      <c r="W4296" s="2">
        <v>1.48</v>
      </c>
      <c r="X4296" s="5">
        <f t="shared" si="670"/>
        <v>0</v>
      </c>
      <c r="Z4296" s="2" t="s">
        <v>3227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67"/>
        <v>0</v>
      </c>
      <c r="AL4296" s="5">
        <f t="shared" si="671"/>
        <v>0</v>
      </c>
    </row>
    <row r="4297" spans="1:38" hidden="1" x14ac:dyDescent="0.2">
      <c r="A4297" s="2">
        <v>2026</v>
      </c>
      <c r="B4297" s="2">
        <v>7</v>
      </c>
      <c r="C4297" s="2" t="s">
        <v>3296</v>
      </c>
      <c r="D4297" s="2" t="s">
        <v>3100</v>
      </c>
      <c r="E4297" s="2" t="s">
        <v>38</v>
      </c>
      <c r="F4297" s="2" t="s">
        <v>39</v>
      </c>
      <c r="H4297" s="2" t="s">
        <v>109</v>
      </c>
      <c r="I4297" s="2" t="s">
        <v>3284</v>
      </c>
      <c r="L4297" s="2" t="s">
        <v>133</v>
      </c>
      <c r="M4297" s="2" t="s">
        <v>109</v>
      </c>
      <c r="O4297" s="2" t="s">
        <v>3283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68"/>
        <v>2990</v>
      </c>
      <c r="V4297" s="12">
        <f t="shared" si="669"/>
        <v>15990</v>
      </c>
      <c r="W4297" s="2">
        <v>8765.42</v>
      </c>
      <c r="X4297" s="5">
        <f t="shared" si="670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67"/>
        <v>4234.58</v>
      </c>
      <c r="AL4297" s="5">
        <f t="shared" si="671"/>
        <v>0.32573692307692309</v>
      </c>
    </row>
    <row r="4298" spans="1:38" hidden="1" x14ac:dyDescent="0.2">
      <c r="A4298" s="2">
        <v>2026</v>
      </c>
      <c r="B4298" s="2">
        <v>7</v>
      </c>
      <c r="C4298" s="2" t="s">
        <v>3296</v>
      </c>
      <c r="D4298" s="2" t="s">
        <v>3100</v>
      </c>
      <c r="E4298" s="2" t="s">
        <v>38</v>
      </c>
      <c r="F4298" s="2" t="s">
        <v>39</v>
      </c>
      <c r="H4298" s="2" t="s">
        <v>109</v>
      </c>
      <c r="I4298" s="2" t="s">
        <v>3284</v>
      </c>
      <c r="L4298" s="2" t="s">
        <v>133</v>
      </c>
      <c r="M4298" s="2" t="s">
        <v>109</v>
      </c>
      <c r="O4298" s="2" t="s">
        <v>3283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6000</v>
      </c>
      <c r="U4298" s="2">
        <f t="shared" si="668"/>
        <v>1380</v>
      </c>
      <c r="V4298" s="12">
        <f t="shared" si="669"/>
        <v>7380</v>
      </c>
      <c r="W4298" s="2">
        <v>4221.5600000000004</v>
      </c>
      <c r="X4298" s="5">
        <f t="shared" si="670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667"/>
        <v>1778.4399999999996</v>
      </c>
      <c r="AL4298" s="5">
        <f t="shared" si="671"/>
        <v>0.2964066666666666</v>
      </c>
    </row>
    <row r="4299" spans="1:38" hidden="1" x14ac:dyDescent="0.2">
      <c r="A4299" s="2">
        <v>2026</v>
      </c>
      <c r="B4299" s="2">
        <v>7</v>
      </c>
      <c r="C4299" s="2" t="s">
        <v>3296</v>
      </c>
      <c r="D4299" s="2" t="s">
        <v>3100</v>
      </c>
      <c r="E4299" s="2" t="s">
        <v>38</v>
      </c>
      <c r="F4299" s="2" t="s">
        <v>39</v>
      </c>
      <c r="H4299" s="2" t="s">
        <v>109</v>
      </c>
      <c r="I4299" s="2" t="s">
        <v>3284</v>
      </c>
      <c r="L4299" s="2" t="s">
        <v>133</v>
      </c>
      <c r="M4299" s="2" t="s">
        <v>109</v>
      </c>
      <c r="O4299" s="2" t="s">
        <v>3283</v>
      </c>
      <c r="P4299" s="2" t="s">
        <v>101</v>
      </c>
      <c r="Q4299" s="2" t="s">
        <v>3277</v>
      </c>
      <c r="R4299" s="2" t="s">
        <v>3278</v>
      </c>
      <c r="S4299" s="13">
        <v>1</v>
      </c>
      <c r="T4299" s="14">
        <v>1000</v>
      </c>
      <c r="U4299" s="2">
        <f t="shared" si="668"/>
        <v>230</v>
      </c>
      <c r="V4299" s="12">
        <f t="shared" si="669"/>
        <v>1230</v>
      </c>
      <c r="W4299" s="2">
        <v>802.73</v>
      </c>
      <c r="X4299" s="5">
        <f t="shared" si="670"/>
        <v>0.19726999999999997</v>
      </c>
      <c r="Z4299" s="2" t="s">
        <v>104</v>
      </c>
      <c r="AA4299" s="2" t="s">
        <v>1111</v>
      </c>
      <c r="AB4299" s="2" t="s">
        <v>3282</v>
      </c>
      <c r="AC4299" s="2" t="s">
        <v>101</v>
      </c>
      <c r="AG4299" s="2">
        <v>802.73</v>
      </c>
      <c r="AK4299" s="2">
        <f t="shared" si="667"/>
        <v>197.26999999999998</v>
      </c>
      <c r="AL4299" s="5">
        <f t="shared" si="671"/>
        <v>0.19726999999999997</v>
      </c>
    </row>
    <row r="4300" spans="1:38" hidden="1" x14ac:dyDescent="0.2">
      <c r="A4300" s="2">
        <v>2026</v>
      </c>
      <c r="B4300" s="2">
        <v>7</v>
      </c>
      <c r="C4300" s="2" t="s">
        <v>3295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3281</v>
      </c>
      <c r="L4300" s="2" t="s">
        <v>339</v>
      </c>
      <c r="M4300" s="2" t="s">
        <v>40</v>
      </c>
      <c r="O4300" s="2" t="s">
        <v>3291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68"/>
        <v>13.8</v>
      </c>
      <c r="V4300" s="12">
        <f t="shared" si="669"/>
        <v>73.8</v>
      </c>
      <c r="W4300" s="2">
        <f>T4300*40%</f>
        <v>24</v>
      </c>
      <c r="X4300" s="5">
        <f t="shared" si="670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67"/>
        <v>36</v>
      </c>
      <c r="AL4300" s="5">
        <f t="shared" si="671"/>
        <v>0.6</v>
      </c>
    </row>
    <row r="4301" spans="1:38" hidden="1" x14ac:dyDescent="0.2">
      <c r="A4301" s="2">
        <v>2026</v>
      </c>
      <c r="B4301" s="2">
        <v>7</v>
      </c>
      <c r="C4301" s="2" t="s">
        <v>3439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3281</v>
      </c>
      <c r="L4301" s="2" t="s">
        <v>339</v>
      </c>
      <c r="M4301" s="2" t="s">
        <v>40</v>
      </c>
      <c r="O4301" s="2" t="s">
        <v>3291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68"/>
        <v>12.65</v>
      </c>
      <c r="V4301" s="12">
        <f t="shared" si="669"/>
        <v>67.650000000000006</v>
      </c>
      <c r="W4301" s="2">
        <f>T4301*50%</f>
        <v>27.5</v>
      </c>
      <c r="X4301" s="5">
        <f t="shared" si="670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67"/>
        <v>27.5</v>
      </c>
      <c r="AL4301" s="5">
        <f t="shared" si="671"/>
        <v>0.5</v>
      </c>
    </row>
    <row r="4302" spans="1:38" hidden="1" x14ac:dyDescent="0.2">
      <c r="A4302" s="2">
        <v>2026</v>
      </c>
      <c r="B4302" s="2">
        <v>7</v>
      </c>
      <c r="C4302" s="2" t="s">
        <v>3295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668"/>
        <v>160.839</v>
      </c>
      <c r="V4302" s="2">
        <f t="shared" si="669"/>
        <v>860.1389999999999</v>
      </c>
      <c r="W4302" s="2">
        <v>345.20339999999999</v>
      </c>
      <c r="X4302" s="5">
        <f t="shared" si="670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67"/>
        <v>354.09659999999997</v>
      </c>
      <c r="AL4302" s="5">
        <f t="shared" si="671"/>
        <v>0.50635864435864431</v>
      </c>
    </row>
    <row r="4303" spans="1:38" hidden="1" x14ac:dyDescent="0.2">
      <c r="A4303" s="2">
        <v>2026</v>
      </c>
      <c r="B4303" s="2">
        <v>7</v>
      </c>
      <c r="C4303" s="2" t="s">
        <v>3295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68"/>
        <v>72.22</v>
      </c>
      <c r="V4303" s="2">
        <f t="shared" si="669"/>
        <v>386.22</v>
      </c>
      <c r="W4303" s="2">
        <f>T4303*40%</f>
        <v>125.60000000000001</v>
      </c>
      <c r="X4303" s="5">
        <f t="shared" si="670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67"/>
        <v>188.39999999999998</v>
      </c>
      <c r="AL4303" s="5">
        <f t="shared" si="671"/>
        <v>0.6</v>
      </c>
    </row>
    <row r="4304" spans="1:38" hidden="1" x14ac:dyDescent="0.2">
      <c r="A4304" s="2">
        <v>2026</v>
      </c>
      <c r="B4304" s="2">
        <v>7</v>
      </c>
      <c r="C4304" s="2" t="s">
        <v>3295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68"/>
        <v>12.65</v>
      </c>
      <c r="V4304" s="2">
        <f t="shared" si="669"/>
        <v>67.650000000000006</v>
      </c>
      <c r="W4304" s="2">
        <f>T4304*50%</f>
        <v>27.5</v>
      </c>
      <c r="X4304" s="5">
        <f t="shared" si="670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67"/>
        <v>27.5</v>
      </c>
      <c r="AL4304" s="5">
        <f t="shared" si="671"/>
        <v>0.5</v>
      </c>
    </row>
    <row r="4305" spans="1:38" hidden="1" x14ac:dyDescent="0.2">
      <c r="A4305" s="2">
        <v>2026</v>
      </c>
      <c r="B4305" s="2">
        <v>7</v>
      </c>
      <c r="C4305" s="2" t="s">
        <v>3296</v>
      </c>
      <c r="D4305" s="2" t="s">
        <v>3333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68"/>
        <v>13.8</v>
      </c>
      <c r="V4305" s="2">
        <f t="shared" si="669"/>
        <v>73.8</v>
      </c>
      <c r="W4305" s="2">
        <f>T4305*40%</f>
        <v>24</v>
      </c>
      <c r="X4305" s="5">
        <f t="shared" si="670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67"/>
        <v>36</v>
      </c>
      <c r="AL4305" s="5">
        <f t="shared" si="671"/>
        <v>0.6</v>
      </c>
    </row>
    <row r="4306" spans="1:38" hidden="1" x14ac:dyDescent="0.2">
      <c r="A4306" s="2">
        <v>2026</v>
      </c>
      <c r="B4306" s="2">
        <v>7</v>
      </c>
      <c r="C4306" s="2" t="s">
        <v>3296</v>
      </c>
      <c r="D4306" s="2" t="s">
        <v>3333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68"/>
        <v>12.65</v>
      </c>
      <c r="V4306" s="2">
        <f t="shared" si="669"/>
        <v>67.650000000000006</v>
      </c>
      <c r="W4306" s="2">
        <f>T4306*50%</f>
        <v>27.5</v>
      </c>
      <c r="X4306" s="5">
        <f t="shared" si="670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67"/>
        <v>27.5</v>
      </c>
      <c r="AL4306" s="5">
        <f t="shared" si="671"/>
        <v>0.5</v>
      </c>
    </row>
    <row r="4307" spans="1:38" hidden="1" x14ac:dyDescent="0.2">
      <c r="A4307" s="2">
        <v>2026</v>
      </c>
      <c r="B4307" s="2">
        <v>7</v>
      </c>
      <c r="C4307" s="2" t="s">
        <v>3295</v>
      </c>
      <c r="D4307" s="2" t="s">
        <v>3334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68"/>
        <v>50.6</v>
      </c>
      <c r="V4307" s="2">
        <f t="shared" si="669"/>
        <v>270.60000000000002</v>
      </c>
      <c r="W4307" s="2">
        <f>113.905+11.25</f>
        <v>125.155</v>
      </c>
      <c r="X4307" s="5">
        <f t="shared" si="670"/>
        <v>0.43111363636363637</v>
      </c>
      <c r="Z4307" s="2" t="s">
        <v>3227</v>
      </c>
      <c r="AA4307" s="2" t="s">
        <v>75</v>
      </c>
      <c r="AB4307" s="2" t="s">
        <v>76</v>
      </c>
      <c r="AC4307" s="2" t="s">
        <v>77</v>
      </c>
      <c r="AK4307" s="2">
        <f t="shared" si="667"/>
        <v>94.844999999999999</v>
      </c>
      <c r="AL4307" s="5">
        <f t="shared" si="671"/>
        <v>0.43111363636363637</v>
      </c>
    </row>
    <row r="4308" spans="1:38" hidden="1" x14ac:dyDescent="0.2">
      <c r="A4308" s="2">
        <v>2026</v>
      </c>
      <c r="B4308" s="2">
        <v>7</v>
      </c>
      <c r="C4308" s="2" t="s">
        <v>3295</v>
      </c>
      <c r="D4308" s="2" t="s">
        <v>3334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68"/>
        <v>0.34040000000000004</v>
      </c>
      <c r="V4308" s="2">
        <f t="shared" si="669"/>
        <v>1.8204</v>
      </c>
      <c r="W4308" s="2">
        <v>1.48</v>
      </c>
      <c r="X4308" s="5">
        <f t="shared" si="670"/>
        <v>0</v>
      </c>
      <c r="Z4308" s="2" t="s">
        <v>3227</v>
      </c>
      <c r="AA4308" s="2" t="s">
        <v>96</v>
      </c>
      <c r="AB4308" s="2" t="s">
        <v>76</v>
      </c>
      <c r="AC4308" s="2" t="s">
        <v>93</v>
      </c>
      <c r="AK4308" s="2">
        <f t="shared" si="667"/>
        <v>0</v>
      </c>
      <c r="AL4308" s="5">
        <f t="shared" si="671"/>
        <v>0</v>
      </c>
    </row>
    <row r="4309" spans="1:38" hidden="1" x14ac:dyDescent="0.2">
      <c r="A4309" s="2">
        <v>2026</v>
      </c>
      <c r="B4309" s="2">
        <v>7</v>
      </c>
      <c r="C4309" s="2" t="s">
        <v>3296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68"/>
        <v>145.82</v>
      </c>
      <c r="V4309" s="2">
        <f t="shared" si="669"/>
        <v>779.81999999999994</v>
      </c>
      <c r="W4309" s="2">
        <f>T4309*40%</f>
        <v>253.60000000000002</v>
      </c>
      <c r="X4309" s="5">
        <f t="shared" si="670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67"/>
        <v>380.4</v>
      </c>
      <c r="AL4309" s="5">
        <f t="shared" si="671"/>
        <v>0.6</v>
      </c>
    </row>
    <row r="4310" spans="1:38" hidden="1" x14ac:dyDescent="0.2">
      <c r="A4310" s="2">
        <v>2026</v>
      </c>
      <c r="B4310" s="2">
        <v>7</v>
      </c>
      <c r="C4310" s="2" t="s">
        <v>3296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68"/>
        <v>44.274999999999999</v>
      </c>
      <c r="V4310" s="2">
        <f t="shared" si="669"/>
        <v>236.77500000000001</v>
      </c>
      <c r="W4310" s="2">
        <f>T4310*50%</f>
        <v>96.25</v>
      </c>
      <c r="X4310" s="5">
        <f t="shared" si="670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67"/>
        <v>96.25</v>
      </c>
      <c r="AL4310" s="5">
        <f t="shared" si="671"/>
        <v>0.5</v>
      </c>
    </row>
    <row r="4311" spans="1:38" hidden="1" x14ac:dyDescent="0.2">
      <c r="A4311" s="2">
        <v>2026</v>
      </c>
      <c r="B4311" s="2">
        <v>7</v>
      </c>
      <c r="C4311" s="2" t="s">
        <v>3295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72">T4311*23%</f>
        <v>13.8</v>
      </c>
      <c r="V4311" s="2">
        <f t="shared" ref="V4311:V4342" si="673">T4311+U4311</f>
        <v>73.8</v>
      </c>
      <c r="W4311" s="2">
        <f>T4311*40%</f>
        <v>24</v>
      </c>
      <c r="X4311" s="5">
        <f t="shared" ref="X4311:X4329" si="674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67"/>
        <v>36</v>
      </c>
      <c r="AL4311" s="5">
        <f t="shared" ref="AL4311:AL4329" si="675">(T4311-W4311)/T4311</f>
        <v>0.6</v>
      </c>
    </row>
    <row r="4312" spans="1:38" hidden="1" x14ac:dyDescent="0.2">
      <c r="A4312" s="2">
        <v>2026</v>
      </c>
      <c r="B4312" s="2">
        <v>7</v>
      </c>
      <c r="C4312" s="2" t="s">
        <v>3295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72"/>
        <v>18.975000000000001</v>
      </c>
      <c r="V4312" s="2">
        <f t="shared" si="673"/>
        <v>101.47499999999999</v>
      </c>
      <c r="W4312" s="2">
        <f>T4312*50%</f>
        <v>41.25</v>
      </c>
      <c r="X4312" s="5">
        <f t="shared" si="674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67"/>
        <v>41.25</v>
      </c>
      <c r="AL4312" s="5">
        <f t="shared" si="675"/>
        <v>0.5</v>
      </c>
    </row>
    <row r="4313" spans="1:38" hidden="1" x14ac:dyDescent="0.2">
      <c r="A4313" s="2">
        <v>2026</v>
      </c>
      <c r="B4313" s="2">
        <v>7</v>
      </c>
      <c r="C4313" s="2" t="s">
        <v>3295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72"/>
        <v>18.278100000000002</v>
      </c>
      <c r="V4313" s="2">
        <f t="shared" si="673"/>
        <v>97.748099999999994</v>
      </c>
      <c r="W4313" s="2">
        <v>25.2</v>
      </c>
      <c r="X4313" s="5">
        <f t="shared" si="674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67"/>
        <v>54.269999999999996</v>
      </c>
      <c r="AL4313" s="5">
        <f t="shared" si="675"/>
        <v>0.68289920724801811</v>
      </c>
    </row>
    <row r="4314" spans="1:38" hidden="1" x14ac:dyDescent="0.2">
      <c r="A4314" s="2">
        <v>2026</v>
      </c>
      <c r="B4314" s="2">
        <v>7</v>
      </c>
      <c r="C4314" s="2" t="s">
        <v>3295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3345</v>
      </c>
      <c r="R4314" s="15" t="s">
        <v>3346</v>
      </c>
      <c r="S4314" s="13">
        <v>1</v>
      </c>
      <c r="T4314" s="14">
        <v>280</v>
      </c>
      <c r="U4314" s="2">
        <f t="shared" si="672"/>
        <v>64.400000000000006</v>
      </c>
      <c r="V4314" s="2">
        <f t="shared" si="673"/>
        <v>344.4</v>
      </c>
      <c r="W4314" s="2">
        <f>144.32+16.82</f>
        <v>161.13999999999999</v>
      </c>
      <c r="X4314" s="5">
        <f t="shared" si="674"/>
        <v>0.42450000000000004</v>
      </c>
      <c r="Z4314" s="2" t="s">
        <v>3227</v>
      </c>
      <c r="AA4314" s="2" t="s">
        <v>75</v>
      </c>
      <c r="AB4314" s="2" t="s">
        <v>76</v>
      </c>
      <c r="AC4314" s="2" t="s">
        <v>1038</v>
      </c>
      <c r="AK4314" s="2">
        <f t="shared" si="667"/>
        <v>118.86000000000001</v>
      </c>
      <c r="AL4314" s="5">
        <f t="shared" si="675"/>
        <v>0.42450000000000004</v>
      </c>
    </row>
    <row r="4315" spans="1:38" hidden="1" x14ac:dyDescent="0.2">
      <c r="A4315" s="2">
        <v>2026</v>
      </c>
      <c r="B4315" s="2">
        <v>7</v>
      </c>
      <c r="C4315" s="2" t="s">
        <v>3295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72"/>
        <v>0.34040000000000004</v>
      </c>
      <c r="V4315" s="2">
        <f t="shared" si="673"/>
        <v>1.8204</v>
      </c>
      <c r="W4315" s="2">
        <v>1.48</v>
      </c>
      <c r="X4315" s="5">
        <f t="shared" si="674"/>
        <v>0</v>
      </c>
      <c r="Z4315" s="2" t="s">
        <v>3227</v>
      </c>
      <c r="AA4315" s="2" t="s">
        <v>96</v>
      </c>
      <c r="AB4315" s="2" t="s">
        <v>76</v>
      </c>
      <c r="AC4315" s="2" t="s">
        <v>93</v>
      </c>
      <c r="AK4315" s="2">
        <f t="shared" si="667"/>
        <v>0</v>
      </c>
      <c r="AL4315" s="5">
        <f t="shared" si="675"/>
        <v>0</v>
      </c>
    </row>
    <row r="4316" spans="1:38" hidden="1" x14ac:dyDescent="0.2">
      <c r="A4316" s="2">
        <v>2026</v>
      </c>
      <c r="B4316" s="2">
        <v>7</v>
      </c>
      <c r="C4316" s="2" t="s">
        <v>3294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2997</v>
      </c>
      <c r="R4316" s="15" t="s">
        <v>2998</v>
      </c>
      <c r="S4316" s="13">
        <v>1</v>
      </c>
      <c r="T4316" s="14">
        <v>1190</v>
      </c>
      <c r="U4316" s="2">
        <f t="shared" si="672"/>
        <v>273.7</v>
      </c>
      <c r="V4316" s="2">
        <f t="shared" si="673"/>
        <v>1463.7</v>
      </c>
      <c r="W4316" s="2">
        <v>773.5</v>
      </c>
      <c r="X4316" s="5">
        <f t="shared" si="674"/>
        <v>0.35</v>
      </c>
      <c r="Z4316" s="2" t="s">
        <v>117</v>
      </c>
      <c r="AA4316" s="2" t="s">
        <v>181</v>
      </c>
      <c r="AB4316" s="2" t="s">
        <v>3381</v>
      </c>
      <c r="AC4316" s="2" t="s">
        <v>1327</v>
      </c>
      <c r="AK4316" s="2">
        <f t="shared" si="667"/>
        <v>416.5</v>
      </c>
      <c r="AL4316" s="5">
        <f t="shared" si="675"/>
        <v>0.35</v>
      </c>
    </row>
    <row r="4317" spans="1:38" hidden="1" x14ac:dyDescent="0.2">
      <c r="A4317" s="2">
        <v>2026</v>
      </c>
      <c r="B4317" s="2">
        <v>7</v>
      </c>
      <c r="C4317" s="2" t="s">
        <v>3295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72"/>
        <v>41.4</v>
      </c>
      <c r="V4317" s="2">
        <f t="shared" si="673"/>
        <v>221.4</v>
      </c>
      <c r="W4317" s="2">
        <v>125.51600000000001</v>
      </c>
      <c r="X4317" s="5">
        <f t="shared" si="674"/>
        <v>0.30268888888888884</v>
      </c>
      <c r="Z4317" s="2" t="s">
        <v>3227</v>
      </c>
      <c r="AA4317" s="2" t="s">
        <v>75</v>
      </c>
      <c r="AB4317" s="2" t="s">
        <v>76</v>
      </c>
      <c r="AC4317" s="2" t="s">
        <v>77</v>
      </c>
      <c r="AK4317" s="2">
        <f t="shared" si="667"/>
        <v>54.483999999999995</v>
      </c>
      <c r="AL4317" s="5">
        <f t="shared" si="675"/>
        <v>0.30268888888888884</v>
      </c>
    </row>
    <row r="4318" spans="1:38" hidden="1" x14ac:dyDescent="0.2">
      <c r="A4318" s="2">
        <v>2026</v>
      </c>
      <c r="B4318" s="2">
        <v>7</v>
      </c>
      <c r="C4318" s="2" t="s">
        <v>3295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72"/>
        <v>0.34040000000000004</v>
      </c>
      <c r="V4318" s="2">
        <f t="shared" si="673"/>
        <v>1.8204</v>
      </c>
      <c r="W4318" s="2">
        <v>1.48</v>
      </c>
      <c r="X4318" s="5">
        <f t="shared" si="674"/>
        <v>0</v>
      </c>
      <c r="Z4318" s="2" t="s">
        <v>3227</v>
      </c>
      <c r="AA4318" s="2" t="s">
        <v>96</v>
      </c>
      <c r="AB4318" s="2" t="s">
        <v>76</v>
      </c>
      <c r="AC4318" s="2" t="s">
        <v>93</v>
      </c>
      <c r="AK4318" s="2">
        <f t="shared" si="667"/>
        <v>0</v>
      </c>
      <c r="AL4318" s="5">
        <f t="shared" si="675"/>
        <v>0</v>
      </c>
    </row>
    <row r="4319" spans="1:38" hidden="1" x14ac:dyDescent="0.2">
      <c r="A4319" s="2">
        <v>2026</v>
      </c>
      <c r="B4319" s="2">
        <v>7</v>
      </c>
      <c r="C4319" s="2" t="s">
        <v>3295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72"/>
        <v>52.900000000000006</v>
      </c>
      <c r="V4319" s="2">
        <f t="shared" si="673"/>
        <v>282.89999999999998</v>
      </c>
      <c r="W4319" s="2">
        <v>135.68</v>
      </c>
      <c r="X4319" s="5">
        <f t="shared" si="674"/>
        <v>0.4100869565217391</v>
      </c>
      <c r="Z4319" s="2" t="s">
        <v>3227</v>
      </c>
      <c r="AA4319" s="2" t="s">
        <v>75</v>
      </c>
      <c r="AB4319" s="2" t="s">
        <v>76</v>
      </c>
      <c r="AC4319" s="2" t="s">
        <v>77</v>
      </c>
      <c r="AK4319" s="2">
        <f t="shared" si="667"/>
        <v>94.32</v>
      </c>
      <c r="AL4319" s="5">
        <f t="shared" si="675"/>
        <v>0.4100869565217391</v>
      </c>
    </row>
    <row r="4320" spans="1:38" hidden="1" x14ac:dyDescent="0.2">
      <c r="A4320" s="2">
        <v>2026</v>
      </c>
      <c r="B4320" s="2">
        <v>7</v>
      </c>
      <c r="C4320" s="2" t="s">
        <v>3295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72"/>
        <v>0.34040000000000004</v>
      </c>
      <c r="V4320" s="2">
        <f t="shared" si="673"/>
        <v>1.8204</v>
      </c>
      <c r="W4320" s="2">
        <v>1.48</v>
      </c>
      <c r="X4320" s="5">
        <f t="shared" si="674"/>
        <v>0</v>
      </c>
      <c r="Z4320" s="2" t="s">
        <v>3227</v>
      </c>
      <c r="AA4320" s="2" t="s">
        <v>96</v>
      </c>
      <c r="AB4320" s="2" t="s">
        <v>76</v>
      </c>
      <c r="AC4320" s="2" t="s">
        <v>93</v>
      </c>
      <c r="AK4320" s="2">
        <f t="shared" si="667"/>
        <v>0</v>
      </c>
      <c r="AL4320" s="5">
        <f t="shared" si="675"/>
        <v>0</v>
      </c>
    </row>
    <row r="4321" spans="1:38" hidden="1" x14ac:dyDescent="0.2">
      <c r="A4321" s="2">
        <v>2026</v>
      </c>
      <c r="B4321" s="2">
        <v>7</v>
      </c>
      <c r="C4321" s="2" t="s">
        <v>3294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3347</v>
      </c>
      <c r="R4321" s="15" t="s">
        <v>3348</v>
      </c>
      <c r="S4321" s="13">
        <v>1</v>
      </c>
      <c r="T4321" s="14">
        <v>37.6</v>
      </c>
      <c r="U4321" s="2">
        <f t="shared" si="672"/>
        <v>8.6480000000000015</v>
      </c>
      <c r="V4321" s="2">
        <f t="shared" si="673"/>
        <v>46.248000000000005</v>
      </c>
      <c r="W4321" s="2">
        <v>21.71</v>
      </c>
      <c r="X4321" s="5">
        <f t="shared" si="674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67"/>
        <v>15.89</v>
      </c>
      <c r="AL4321" s="5">
        <f t="shared" si="675"/>
        <v>0.42260638297872338</v>
      </c>
    </row>
    <row r="4322" spans="1:38" hidden="1" x14ac:dyDescent="0.2">
      <c r="A4322" s="2">
        <v>2026</v>
      </c>
      <c r="B4322" s="2">
        <v>7</v>
      </c>
      <c r="C4322" s="2" t="s">
        <v>3295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72"/>
        <v>13.8</v>
      </c>
      <c r="V4322" s="2">
        <f t="shared" si="673"/>
        <v>73.8</v>
      </c>
      <c r="W4322" s="2">
        <f>T4322*40%</f>
        <v>24</v>
      </c>
      <c r="X4322" s="5">
        <f t="shared" si="674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67"/>
        <v>36</v>
      </c>
      <c r="AL4322" s="5">
        <f t="shared" si="675"/>
        <v>0.6</v>
      </c>
    </row>
    <row r="4323" spans="1:38" hidden="1" x14ac:dyDescent="0.2">
      <c r="A4323" s="2">
        <v>2026</v>
      </c>
      <c r="B4323" s="2">
        <v>7</v>
      </c>
      <c r="C4323" s="2" t="s">
        <v>3295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72"/>
        <v>12.65</v>
      </c>
      <c r="V4323" s="2">
        <f t="shared" si="673"/>
        <v>67.650000000000006</v>
      </c>
      <c r="W4323" s="2">
        <f>T4323*50%</f>
        <v>27.5</v>
      </c>
      <c r="X4323" s="5">
        <f t="shared" si="674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67"/>
        <v>27.5</v>
      </c>
      <c r="AL4323" s="5">
        <f t="shared" si="675"/>
        <v>0.5</v>
      </c>
    </row>
    <row r="4324" spans="1:38" hidden="1" x14ac:dyDescent="0.2">
      <c r="A4324" s="2">
        <v>2026</v>
      </c>
      <c r="B4324" s="2">
        <v>7</v>
      </c>
      <c r="C4324" s="2" t="s">
        <v>3294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72"/>
        <v>1.84</v>
      </c>
      <c r="V4324" s="2">
        <f t="shared" si="673"/>
        <v>9.84</v>
      </c>
      <c r="W4324" s="2">
        <v>6</v>
      </c>
      <c r="X4324" s="5">
        <f t="shared" si="674"/>
        <v>0.25</v>
      </c>
      <c r="Z4324" s="2" t="s">
        <v>169</v>
      </c>
      <c r="AA4324" s="2" t="s">
        <v>169</v>
      </c>
      <c r="AK4324" s="2">
        <f t="shared" si="667"/>
        <v>2</v>
      </c>
      <c r="AL4324" s="5">
        <f t="shared" si="675"/>
        <v>0.25</v>
      </c>
    </row>
    <row r="4325" spans="1:38" hidden="1" x14ac:dyDescent="0.2">
      <c r="A4325" s="2">
        <v>2026</v>
      </c>
      <c r="B4325" s="2">
        <v>7</v>
      </c>
      <c r="C4325" s="2" t="s">
        <v>3295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3274</v>
      </c>
      <c r="R4325" s="15" t="s">
        <v>307</v>
      </c>
      <c r="S4325" s="13">
        <v>1</v>
      </c>
      <c r="T4325" s="14">
        <v>240</v>
      </c>
      <c r="U4325" s="2">
        <f t="shared" si="672"/>
        <v>55.2</v>
      </c>
      <c r="V4325" s="2">
        <f t="shared" si="673"/>
        <v>295.2</v>
      </c>
      <c r="W4325" s="2">
        <v>119.95</v>
      </c>
      <c r="X4325" s="5">
        <f t="shared" si="674"/>
        <v>0.50020833333333337</v>
      </c>
      <c r="Z4325" s="2" t="s">
        <v>3227</v>
      </c>
      <c r="AA4325" s="2" t="s">
        <v>75</v>
      </c>
      <c r="AB4325" s="2" t="s">
        <v>76</v>
      </c>
      <c r="AC4325" s="2" t="s">
        <v>77</v>
      </c>
      <c r="AK4325" s="2">
        <f t="shared" si="667"/>
        <v>120.05</v>
      </c>
      <c r="AL4325" s="5">
        <f t="shared" si="675"/>
        <v>0.50020833333333337</v>
      </c>
    </row>
    <row r="4326" spans="1:38" hidden="1" x14ac:dyDescent="0.2">
      <c r="A4326" s="2">
        <v>2026</v>
      </c>
      <c r="B4326" s="2">
        <v>7</v>
      </c>
      <c r="C4326" s="2" t="s">
        <v>3295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72"/>
        <v>0.34040000000000004</v>
      </c>
      <c r="V4326" s="2">
        <f t="shared" si="673"/>
        <v>1.8204</v>
      </c>
      <c r="W4326" s="2">
        <v>1.48</v>
      </c>
      <c r="X4326" s="5">
        <f t="shared" si="674"/>
        <v>0</v>
      </c>
      <c r="Z4326" s="2" t="s">
        <v>3227</v>
      </c>
      <c r="AA4326" s="2" t="s">
        <v>96</v>
      </c>
      <c r="AB4326" s="2" t="s">
        <v>76</v>
      </c>
      <c r="AC4326" s="2" t="s">
        <v>93</v>
      </c>
      <c r="AK4326" s="2">
        <f t="shared" si="667"/>
        <v>0</v>
      </c>
      <c r="AL4326" s="5">
        <f t="shared" si="675"/>
        <v>0</v>
      </c>
    </row>
    <row r="4327" spans="1:38" hidden="1" x14ac:dyDescent="0.2">
      <c r="A4327" s="2">
        <v>2026</v>
      </c>
      <c r="B4327" s="2">
        <v>7</v>
      </c>
      <c r="C4327" s="2" t="s">
        <v>3295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72"/>
        <v>46</v>
      </c>
      <c r="V4327" s="2">
        <f t="shared" si="673"/>
        <v>246</v>
      </c>
      <c r="W4327" s="2">
        <v>124.6</v>
      </c>
      <c r="X4327" s="5">
        <f t="shared" si="674"/>
        <v>0.377</v>
      </c>
      <c r="Z4327" s="2" t="s">
        <v>3227</v>
      </c>
      <c r="AA4327" s="2" t="s">
        <v>75</v>
      </c>
      <c r="AB4327" s="2" t="s">
        <v>76</v>
      </c>
      <c r="AC4327" s="2" t="s">
        <v>77</v>
      </c>
      <c r="AK4327" s="2">
        <f t="shared" si="667"/>
        <v>75.400000000000006</v>
      </c>
      <c r="AL4327" s="5">
        <f t="shared" si="675"/>
        <v>0.377</v>
      </c>
    </row>
    <row r="4328" spans="1:38" hidden="1" x14ac:dyDescent="0.2">
      <c r="A4328" s="2">
        <v>2026</v>
      </c>
      <c r="B4328" s="2">
        <v>7</v>
      </c>
      <c r="C4328" s="2" t="s">
        <v>3295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72"/>
        <v>0.34040000000000004</v>
      </c>
      <c r="V4328" s="2">
        <f t="shared" si="673"/>
        <v>1.8204</v>
      </c>
      <c r="W4328" s="2">
        <v>1.48</v>
      </c>
      <c r="X4328" s="5">
        <f t="shared" si="674"/>
        <v>0</v>
      </c>
      <c r="Z4328" s="2" t="s">
        <v>3227</v>
      </c>
      <c r="AA4328" s="2" t="s">
        <v>96</v>
      </c>
      <c r="AB4328" s="2" t="s">
        <v>76</v>
      </c>
      <c r="AC4328" s="2" t="s">
        <v>93</v>
      </c>
      <c r="AK4328" s="2">
        <f t="shared" si="667"/>
        <v>0</v>
      </c>
      <c r="AL4328" s="5">
        <f t="shared" si="675"/>
        <v>0</v>
      </c>
    </row>
    <row r="4329" spans="1:38" hidden="1" x14ac:dyDescent="0.2">
      <c r="A4329" s="2">
        <v>2026</v>
      </c>
      <c r="B4329" s="2">
        <v>7</v>
      </c>
      <c r="C4329" s="2" t="s">
        <v>3295</v>
      </c>
      <c r="D4329" s="15" t="s">
        <v>3335</v>
      </c>
      <c r="E4329" s="2" t="s">
        <v>3377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672"/>
        <v>460</v>
      </c>
      <c r="V4329" s="2">
        <f t="shared" si="673"/>
        <v>2460</v>
      </c>
      <c r="W4329" s="2">
        <v>1150</v>
      </c>
      <c r="X4329" s="5">
        <f t="shared" si="674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667"/>
        <v>850</v>
      </c>
      <c r="AL4329" s="5">
        <f t="shared" si="675"/>
        <v>0.42499999999999999</v>
      </c>
    </row>
    <row r="4330" spans="1:38" hidden="1" x14ac:dyDescent="0.2">
      <c r="A4330" s="2">
        <v>2026</v>
      </c>
      <c r="B4330" s="2">
        <v>7</v>
      </c>
      <c r="C4330" s="2" t="s">
        <v>3295</v>
      </c>
      <c r="D4330" s="15" t="s">
        <v>3335</v>
      </c>
      <c r="E4330" s="2" t="s">
        <v>3377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672"/>
        <v>0</v>
      </c>
      <c r="V4330" s="2">
        <f t="shared" si="673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667"/>
        <v>0</v>
      </c>
      <c r="AL4330" s="5">
        <v>0</v>
      </c>
    </row>
    <row r="4331" spans="1:38" ht="10.5" hidden="1" customHeight="1" x14ac:dyDescent="0.2">
      <c r="A4331" s="2">
        <v>2026</v>
      </c>
      <c r="B4331" s="2">
        <v>7</v>
      </c>
      <c r="C4331" s="2" t="s">
        <v>3295</v>
      </c>
      <c r="D4331" s="15" t="s">
        <v>3335</v>
      </c>
      <c r="E4331" s="2" t="s">
        <v>3377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672"/>
        <v>0</v>
      </c>
      <c r="V4331" s="2">
        <f t="shared" si="673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667"/>
        <v>0</v>
      </c>
      <c r="AL4331" s="5">
        <v>0</v>
      </c>
    </row>
    <row r="4332" spans="1:38" hidden="1" x14ac:dyDescent="0.2">
      <c r="A4332" s="2">
        <v>2026</v>
      </c>
      <c r="B4332" s="2">
        <v>7</v>
      </c>
      <c r="C4332" s="2" t="s">
        <v>3295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3349</v>
      </c>
      <c r="R4332" s="15" t="s">
        <v>74</v>
      </c>
      <c r="S4332" s="13">
        <v>1</v>
      </c>
      <c r="T4332" s="14">
        <v>270</v>
      </c>
      <c r="U4332" s="2">
        <f t="shared" si="672"/>
        <v>62.1</v>
      </c>
      <c r="V4332" s="2">
        <f t="shared" si="673"/>
        <v>332.1</v>
      </c>
      <c r="W4332" s="2">
        <f>118.44+11.7</f>
        <v>130.13999999999999</v>
      </c>
      <c r="X4332" s="5">
        <f t="shared" ref="X4332:X4356" si="676">(T4332-W4332)/T4332</f>
        <v>0.51800000000000002</v>
      </c>
      <c r="Z4332" s="2" t="s">
        <v>3227</v>
      </c>
      <c r="AA4332" s="2" t="s">
        <v>75</v>
      </c>
      <c r="AB4332" s="2" t="s">
        <v>76</v>
      </c>
      <c r="AC4332" s="2" t="s">
        <v>77</v>
      </c>
      <c r="AK4332" s="2">
        <f t="shared" si="667"/>
        <v>139.86000000000001</v>
      </c>
      <c r="AL4332" s="5">
        <f t="shared" ref="AL4332:AL4356" si="677">(T4332-W4332)/T4332</f>
        <v>0.51800000000000002</v>
      </c>
    </row>
    <row r="4333" spans="1:38" hidden="1" x14ac:dyDescent="0.2">
      <c r="A4333" s="2">
        <v>2026</v>
      </c>
      <c r="B4333" s="2">
        <v>7</v>
      </c>
      <c r="C4333" s="2" t="s">
        <v>3295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72"/>
        <v>0.34040000000000004</v>
      </c>
      <c r="V4333" s="2">
        <f t="shared" si="673"/>
        <v>1.8204</v>
      </c>
      <c r="W4333" s="2">
        <v>1.48</v>
      </c>
      <c r="X4333" s="5">
        <f t="shared" si="676"/>
        <v>0</v>
      </c>
      <c r="Z4333" s="2" t="s">
        <v>3227</v>
      </c>
      <c r="AA4333" s="2" t="s">
        <v>96</v>
      </c>
      <c r="AB4333" s="2" t="s">
        <v>76</v>
      </c>
      <c r="AC4333" s="2" t="s">
        <v>93</v>
      </c>
      <c r="AK4333" s="2">
        <f t="shared" si="667"/>
        <v>0</v>
      </c>
      <c r="AL4333" s="5">
        <f t="shared" si="677"/>
        <v>0</v>
      </c>
    </row>
    <row r="4334" spans="1:38" hidden="1" x14ac:dyDescent="0.2">
      <c r="A4334" s="2">
        <v>2026</v>
      </c>
      <c r="B4334" s="2">
        <v>7</v>
      </c>
      <c r="C4334" s="2" t="s">
        <v>3295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72"/>
        <v>16.79</v>
      </c>
      <c r="V4334" s="2">
        <f t="shared" si="673"/>
        <v>89.789999999999992</v>
      </c>
      <c r="W4334" s="2">
        <f>T4334*40%</f>
        <v>29.200000000000003</v>
      </c>
      <c r="X4334" s="5">
        <f t="shared" si="676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67"/>
        <v>43.8</v>
      </c>
      <c r="AL4334" s="5">
        <f t="shared" si="677"/>
        <v>0.6</v>
      </c>
    </row>
    <row r="4335" spans="1:38" hidden="1" x14ac:dyDescent="0.2">
      <c r="A4335" s="2">
        <v>2026</v>
      </c>
      <c r="B4335" s="2">
        <v>7</v>
      </c>
      <c r="C4335" s="2" t="s">
        <v>3295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72"/>
        <v>12.65</v>
      </c>
      <c r="V4335" s="2">
        <f t="shared" si="673"/>
        <v>67.650000000000006</v>
      </c>
      <c r="W4335" s="2">
        <f>T4335*50%</f>
        <v>27.5</v>
      </c>
      <c r="X4335" s="5">
        <f t="shared" si="676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67"/>
        <v>27.5</v>
      </c>
      <c r="AL4335" s="5">
        <f t="shared" si="677"/>
        <v>0.5</v>
      </c>
    </row>
    <row r="4336" spans="1:38" hidden="1" x14ac:dyDescent="0.2">
      <c r="A4336" s="2">
        <v>2026</v>
      </c>
      <c r="B4336" s="2">
        <v>7</v>
      </c>
      <c r="C4336" s="2" t="s">
        <v>3295</v>
      </c>
      <c r="D4336" s="15" t="s">
        <v>1553</v>
      </c>
      <c r="E4336" s="2" t="s">
        <v>108</v>
      </c>
      <c r="F4336" s="2" t="s">
        <v>717</v>
      </c>
      <c r="L4336" s="2" t="s">
        <v>177</v>
      </c>
      <c r="M4336" s="2" t="s">
        <v>41</v>
      </c>
      <c r="P4336" s="2" t="s">
        <v>72</v>
      </c>
      <c r="Q4336" s="16" t="s">
        <v>3349</v>
      </c>
      <c r="R4336" s="15" t="s">
        <v>74</v>
      </c>
      <c r="S4336" s="13">
        <v>1</v>
      </c>
      <c r="T4336" s="14">
        <v>220</v>
      </c>
      <c r="U4336" s="2">
        <f t="shared" si="672"/>
        <v>50.6</v>
      </c>
      <c r="V4336" s="2">
        <f t="shared" si="673"/>
        <v>270.60000000000002</v>
      </c>
      <c r="W4336" s="2">
        <f>118.44+11.7</f>
        <v>130.13999999999999</v>
      </c>
      <c r="X4336" s="5">
        <f t="shared" si="676"/>
        <v>0.40845454545454551</v>
      </c>
      <c r="Z4336" s="2" t="s">
        <v>3227</v>
      </c>
      <c r="AA4336" s="2" t="s">
        <v>75</v>
      </c>
      <c r="AB4336" s="2" t="s">
        <v>76</v>
      </c>
      <c r="AC4336" s="2" t="s">
        <v>77</v>
      </c>
      <c r="AK4336" s="2">
        <f t="shared" si="667"/>
        <v>89.860000000000014</v>
      </c>
      <c r="AL4336" s="5">
        <f t="shared" si="677"/>
        <v>0.40845454545454551</v>
      </c>
    </row>
    <row r="4337" spans="1:38" hidden="1" x14ac:dyDescent="0.2">
      <c r="A4337" s="2">
        <v>2026</v>
      </c>
      <c r="B4337" s="2">
        <v>7</v>
      </c>
      <c r="C4337" s="2" t="s">
        <v>3295</v>
      </c>
      <c r="D4337" s="15" t="s">
        <v>1553</v>
      </c>
      <c r="E4337" s="2" t="s">
        <v>108</v>
      </c>
      <c r="F4337" s="2" t="s">
        <v>717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72"/>
        <v>0.34040000000000004</v>
      </c>
      <c r="V4337" s="2">
        <f t="shared" si="673"/>
        <v>1.8204</v>
      </c>
      <c r="W4337" s="2">
        <v>1.48</v>
      </c>
      <c r="X4337" s="5">
        <f t="shared" si="676"/>
        <v>0</v>
      </c>
      <c r="Z4337" s="2" t="s">
        <v>3227</v>
      </c>
      <c r="AA4337" s="2" t="s">
        <v>96</v>
      </c>
      <c r="AB4337" s="2" t="s">
        <v>76</v>
      </c>
      <c r="AC4337" s="2" t="s">
        <v>93</v>
      </c>
      <c r="AK4337" s="2">
        <f t="shared" si="667"/>
        <v>0</v>
      </c>
      <c r="AL4337" s="5">
        <f t="shared" si="677"/>
        <v>0</v>
      </c>
    </row>
    <row r="4338" spans="1:38" hidden="1" x14ac:dyDescent="0.2">
      <c r="A4338" s="2">
        <v>2026</v>
      </c>
      <c r="B4338" s="2">
        <v>7</v>
      </c>
      <c r="C4338" s="2" t="s">
        <v>3295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3350</v>
      </c>
      <c r="R4338" s="15" t="s">
        <v>3351</v>
      </c>
      <c r="S4338" s="13">
        <v>1</v>
      </c>
      <c r="T4338" s="14">
        <v>59.17</v>
      </c>
      <c r="U4338" s="2">
        <f t="shared" si="672"/>
        <v>13.609100000000002</v>
      </c>
      <c r="V4338" s="2">
        <f t="shared" si="673"/>
        <v>72.7791</v>
      </c>
      <c r="W4338" s="2">
        <v>28.25</v>
      </c>
      <c r="X4338" s="5">
        <f t="shared" si="676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67"/>
        <v>30.92</v>
      </c>
      <c r="AL4338" s="5">
        <f t="shared" si="677"/>
        <v>0.52256210917694779</v>
      </c>
    </row>
    <row r="4339" spans="1:38" hidden="1" x14ac:dyDescent="0.2">
      <c r="A4339" s="2">
        <v>2026</v>
      </c>
      <c r="B4339" s="2">
        <v>7</v>
      </c>
      <c r="C4339" s="2" t="s">
        <v>3295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72"/>
        <v>13.8</v>
      </c>
      <c r="V4339" s="2">
        <f t="shared" si="673"/>
        <v>73.8</v>
      </c>
      <c r="W4339" s="2">
        <f>T4339*40%</f>
        <v>24</v>
      </c>
      <c r="X4339" s="5">
        <f t="shared" si="676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67"/>
        <v>36</v>
      </c>
      <c r="AL4339" s="5">
        <f t="shared" si="677"/>
        <v>0.6</v>
      </c>
    </row>
    <row r="4340" spans="1:38" hidden="1" x14ac:dyDescent="0.2">
      <c r="A4340" s="2">
        <v>2026</v>
      </c>
      <c r="B4340" s="2">
        <v>7</v>
      </c>
      <c r="C4340" s="2" t="s">
        <v>3439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72"/>
        <v>12.65</v>
      </c>
      <c r="V4340" s="2">
        <f t="shared" si="673"/>
        <v>67.650000000000006</v>
      </c>
      <c r="W4340" s="2">
        <f>T4340*50%</f>
        <v>27.5</v>
      </c>
      <c r="X4340" s="5">
        <f t="shared" si="676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67"/>
        <v>27.5</v>
      </c>
      <c r="AL4340" s="5">
        <f t="shared" si="677"/>
        <v>0.5</v>
      </c>
    </row>
    <row r="4341" spans="1:38" hidden="1" x14ac:dyDescent="0.2">
      <c r="A4341" s="2">
        <v>2026</v>
      </c>
      <c r="B4341" s="2">
        <v>7</v>
      </c>
      <c r="C4341" s="2" t="s">
        <v>3439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72"/>
        <v>50.6</v>
      </c>
      <c r="V4341" s="2">
        <f t="shared" si="673"/>
        <v>270.60000000000002</v>
      </c>
      <c r="W4341" s="2">
        <v>125.51600000000001</v>
      </c>
      <c r="X4341" s="5">
        <f t="shared" si="676"/>
        <v>0.42947272727272723</v>
      </c>
      <c r="Z4341" s="2" t="s">
        <v>3227</v>
      </c>
      <c r="AA4341" s="2" t="s">
        <v>75</v>
      </c>
      <c r="AB4341" s="2" t="s">
        <v>76</v>
      </c>
      <c r="AC4341" s="2" t="s">
        <v>77</v>
      </c>
      <c r="AK4341" s="2">
        <f t="shared" ref="AK4341:AK4404" si="678">T4341-W4341</f>
        <v>94.483999999999995</v>
      </c>
      <c r="AL4341" s="5">
        <f t="shared" si="677"/>
        <v>0.42947272727272723</v>
      </c>
    </row>
    <row r="4342" spans="1:38" hidden="1" x14ac:dyDescent="0.2">
      <c r="A4342" s="2">
        <v>2026</v>
      </c>
      <c r="B4342" s="2">
        <v>7</v>
      </c>
      <c r="C4342" s="2" t="s">
        <v>3439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72"/>
        <v>0.34040000000000004</v>
      </c>
      <c r="V4342" s="2">
        <f t="shared" si="673"/>
        <v>1.8204</v>
      </c>
      <c r="W4342" s="2">
        <v>1.48</v>
      </c>
      <c r="X4342" s="5">
        <f t="shared" si="676"/>
        <v>0</v>
      </c>
      <c r="Z4342" s="2" t="s">
        <v>3227</v>
      </c>
      <c r="AA4342" s="2" t="s">
        <v>96</v>
      </c>
      <c r="AB4342" s="2" t="s">
        <v>76</v>
      </c>
      <c r="AC4342" s="2" t="s">
        <v>93</v>
      </c>
      <c r="AK4342" s="2">
        <f t="shared" si="678"/>
        <v>0</v>
      </c>
      <c r="AL4342" s="5">
        <f t="shared" si="677"/>
        <v>0</v>
      </c>
    </row>
    <row r="4343" spans="1:38" hidden="1" x14ac:dyDescent="0.2">
      <c r="A4343" s="2">
        <v>2026</v>
      </c>
      <c r="B4343" s="2">
        <v>7</v>
      </c>
      <c r="C4343" s="2" t="s">
        <v>3439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79">T4343*23%</f>
        <v>50.6</v>
      </c>
      <c r="V4343" s="2">
        <f t="shared" ref="V4343:V4374" si="680">T4343+U4343</f>
        <v>270.60000000000002</v>
      </c>
      <c r="W4343" s="2">
        <v>125.51600000000001</v>
      </c>
      <c r="X4343" s="5">
        <f t="shared" si="676"/>
        <v>0.42947272727272723</v>
      </c>
      <c r="Z4343" s="2" t="s">
        <v>3227</v>
      </c>
      <c r="AA4343" s="2" t="s">
        <v>75</v>
      </c>
      <c r="AB4343" s="2" t="s">
        <v>76</v>
      </c>
      <c r="AC4343" s="2" t="s">
        <v>77</v>
      </c>
      <c r="AK4343" s="2">
        <f t="shared" si="678"/>
        <v>94.483999999999995</v>
      </c>
      <c r="AL4343" s="5">
        <f t="shared" si="677"/>
        <v>0.42947272727272723</v>
      </c>
    </row>
    <row r="4344" spans="1:38" hidden="1" x14ac:dyDescent="0.2">
      <c r="A4344" s="2">
        <v>2026</v>
      </c>
      <c r="B4344" s="2">
        <v>7</v>
      </c>
      <c r="C4344" s="2" t="s">
        <v>3439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79"/>
        <v>0.34040000000000004</v>
      </c>
      <c r="V4344" s="2">
        <f t="shared" si="680"/>
        <v>1.8204</v>
      </c>
      <c r="W4344" s="2">
        <v>1.48</v>
      </c>
      <c r="X4344" s="5">
        <f t="shared" si="676"/>
        <v>0</v>
      </c>
      <c r="Z4344" s="2" t="s">
        <v>3227</v>
      </c>
      <c r="AA4344" s="2" t="s">
        <v>96</v>
      </c>
      <c r="AB4344" s="2" t="s">
        <v>76</v>
      </c>
      <c r="AC4344" s="2" t="s">
        <v>93</v>
      </c>
      <c r="AK4344" s="2">
        <f t="shared" si="678"/>
        <v>0</v>
      </c>
      <c r="AL4344" s="5">
        <f t="shared" si="677"/>
        <v>0</v>
      </c>
    </row>
    <row r="4345" spans="1:38" hidden="1" x14ac:dyDescent="0.2">
      <c r="A4345" s="2">
        <v>2026</v>
      </c>
      <c r="B4345" s="2">
        <v>7</v>
      </c>
      <c r="C4345" s="2" t="s">
        <v>3294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679"/>
        <v>116.99640000000001</v>
      </c>
      <c r="V4345" s="2">
        <f t="shared" si="680"/>
        <v>625.67640000000006</v>
      </c>
      <c r="W4345" s="2">
        <v>178.3383</v>
      </c>
      <c r="X4345" s="5">
        <f t="shared" si="676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78"/>
        <v>330.3417</v>
      </c>
      <c r="AL4345" s="5">
        <f t="shared" si="677"/>
        <v>0.64940964850200522</v>
      </c>
    </row>
    <row r="4346" spans="1:38" hidden="1" x14ac:dyDescent="0.2">
      <c r="A4346" s="2">
        <v>2026</v>
      </c>
      <c r="B4346" s="2">
        <v>7</v>
      </c>
      <c r="C4346" s="2" t="s">
        <v>3294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79"/>
        <v>20.851800000000001</v>
      </c>
      <c r="V4346" s="2">
        <f t="shared" si="680"/>
        <v>111.51179999999999</v>
      </c>
      <c r="W4346" s="2">
        <v>30.61</v>
      </c>
      <c r="X4346" s="5">
        <f t="shared" si="676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78"/>
        <v>60.05</v>
      </c>
      <c r="AL4346" s="5">
        <f t="shared" si="677"/>
        <v>0.66236487977057135</v>
      </c>
    </row>
    <row r="4347" spans="1:38" hidden="1" x14ac:dyDescent="0.2">
      <c r="A4347" s="2">
        <v>2026</v>
      </c>
      <c r="B4347" s="2">
        <v>7</v>
      </c>
      <c r="C4347" s="2" t="s">
        <v>3294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79"/>
        <v>84.64</v>
      </c>
      <c r="V4347" s="2">
        <f t="shared" si="680"/>
        <v>452.64</v>
      </c>
      <c r="W4347" s="2">
        <f>T4347*40%</f>
        <v>147.20000000000002</v>
      </c>
      <c r="X4347" s="5">
        <f t="shared" si="676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78"/>
        <v>220.79999999999998</v>
      </c>
      <c r="AL4347" s="5">
        <f t="shared" si="677"/>
        <v>0.6</v>
      </c>
    </row>
    <row r="4348" spans="1:38" hidden="1" x14ac:dyDescent="0.2">
      <c r="A4348" s="2">
        <v>2026</v>
      </c>
      <c r="B4348" s="2">
        <v>7</v>
      </c>
      <c r="C4348" s="2" t="s">
        <v>3294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79"/>
        <v>50.6</v>
      </c>
      <c r="V4348" s="2">
        <f t="shared" si="680"/>
        <v>270.60000000000002</v>
      </c>
      <c r="W4348" s="2">
        <f>T4348*50%</f>
        <v>110</v>
      </c>
      <c r="X4348" s="5">
        <f t="shared" si="676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78"/>
        <v>110</v>
      </c>
      <c r="AL4348" s="5">
        <f t="shared" si="677"/>
        <v>0.5</v>
      </c>
    </row>
    <row r="4349" spans="1:38" hidden="1" x14ac:dyDescent="0.2">
      <c r="A4349" s="2">
        <v>2026</v>
      </c>
      <c r="B4349" s="2">
        <v>7</v>
      </c>
      <c r="C4349" s="2" t="s">
        <v>3439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79"/>
        <v>17.25</v>
      </c>
      <c r="V4349" s="2">
        <f t="shared" si="680"/>
        <v>92.25</v>
      </c>
      <c r="W4349" s="2">
        <f>T4349*40%</f>
        <v>30</v>
      </c>
      <c r="X4349" s="5">
        <f t="shared" si="676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78"/>
        <v>45</v>
      </c>
      <c r="AL4349" s="5">
        <f t="shared" si="677"/>
        <v>0.6</v>
      </c>
    </row>
    <row r="4350" spans="1:38" hidden="1" x14ac:dyDescent="0.2">
      <c r="A4350" s="2">
        <v>2026</v>
      </c>
      <c r="B4350" s="2">
        <v>7</v>
      </c>
      <c r="C4350" s="2" t="s">
        <v>3439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79"/>
        <v>22.137499999999999</v>
      </c>
      <c r="V4350" s="2">
        <f t="shared" si="680"/>
        <v>118.3875</v>
      </c>
      <c r="W4350" s="2">
        <f>T4350*50%</f>
        <v>48.125</v>
      </c>
      <c r="X4350" s="5">
        <f t="shared" si="676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78"/>
        <v>48.125</v>
      </c>
      <c r="AL4350" s="5">
        <f t="shared" si="677"/>
        <v>0.5</v>
      </c>
    </row>
    <row r="4351" spans="1:38" hidden="1" x14ac:dyDescent="0.2">
      <c r="A4351" s="2">
        <v>2026</v>
      </c>
      <c r="B4351" s="2">
        <v>7</v>
      </c>
      <c r="C4351" s="2" t="s">
        <v>3439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79"/>
        <v>68.424999999999997</v>
      </c>
      <c r="V4351" s="2">
        <f t="shared" si="680"/>
        <v>365.92500000000001</v>
      </c>
      <c r="W4351" s="2">
        <f>T4351*70%</f>
        <v>208.25</v>
      </c>
      <c r="X4351" s="5">
        <f t="shared" si="676"/>
        <v>0.3</v>
      </c>
      <c r="Z4351" s="2" t="s">
        <v>119</v>
      </c>
      <c r="AA4351" s="2" t="s">
        <v>3380</v>
      </c>
      <c r="AK4351" s="2">
        <f t="shared" si="678"/>
        <v>89.25</v>
      </c>
      <c r="AL4351" s="5">
        <f t="shared" si="677"/>
        <v>0.3</v>
      </c>
    </row>
    <row r="4352" spans="1:38" hidden="1" x14ac:dyDescent="0.2">
      <c r="A4352" s="2">
        <v>2026</v>
      </c>
      <c r="B4352" s="2">
        <v>7</v>
      </c>
      <c r="C4352" s="2" t="s">
        <v>3296</v>
      </c>
      <c r="D4352" s="15" t="s">
        <v>3336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79"/>
        <v>115</v>
      </c>
      <c r="V4352" s="2">
        <f t="shared" si="680"/>
        <v>615</v>
      </c>
      <c r="W4352" s="2">
        <f>T4352*70%</f>
        <v>350</v>
      </c>
      <c r="X4352" s="5">
        <f t="shared" si="676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78"/>
        <v>150</v>
      </c>
      <c r="AL4352" s="5">
        <f t="shared" si="677"/>
        <v>0.3</v>
      </c>
    </row>
    <row r="4353" spans="1:38" hidden="1" x14ac:dyDescent="0.2">
      <c r="A4353" s="2">
        <v>2026</v>
      </c>
      <c r="B4353" s="2">
        <v>7</v>
      </c>
      <c r="C4353" s="2" t="s">
        <v>3294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79"/>
        <v>13.34</v>
      </c>
      <c r="V4353" s="2">
        <f t="shared" si="680"/>
        <v>71.34</v>
      </c>
      <c r="W4353" s="2">
        <f>14.5099*S4353</f>
        <v>29.0198</v>
      </c>
      <c r="X4353" s="5">
        <f t="shared" si="676"/>
        <v>0.49965862068965516</v>
      </c>
      <c r="Z4353" s="2" t="s">
        <v>3227</v>
      </c>
      <c r="AA4353" s="2" t="s">
        <v>46</v>
      </c>
      <c r="AB4353" s="2" t="s">
        <v>60</v>
      </c>
      <c r="AC4353" s="2" t="s">
        <v>3332</v>
      </c>
      <c r="AK4353" s="2">
        <f t="shared" si="678"/>
        <v>28.9802</v>
      </c>
      <c r="AL4353" s="5">
        <f t="shared" si="677"/>
        <v>0.49965862068965516</v>
      </c>
    </row>
    <row r="4354" spans="1:38" hidden="1" x14ac:dyDescent="0.2">
      <c r="A4354" s="2">
        <v>2026</v>
      </c>
      <c r="B4354" s="2">
        <v>7</v>
      </c>
      <c r="C4354" s="2" t="s">
        <v>3294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79"/>
        <v>22.080000000000002</v>
      </c>
      <c r="V4354" s="2">
        <f t="shared" si="680"/>
        <v>118.08</v>
      </c>
      <c r="W4354" s="2">
        <f>14.5099*S4354</f>
        <v>58.0396</v>
      </c>
      <c r="X4354" s="5">
        <f t="shared" si="676"/>
        <v>0.39542083333333333</v>
      </c>
      <c r="Z4354" s="2" t="s">
        <v>3227</v>
      </c>
      <c r="AA4354" s="2" t="s">
        <v>46</v>
      </c>
      <c r="AB4354" s="2" t="s">
        <v>60</v>
      </c>
      <c r="AC4354" s="2" t="s">
        <v>3332</v>
      </c>
      <c r="AK4354" s="2">
        <f t="shared" si="678"/>
        <v>37.9604</v>
      </c>
      <c r="AL4354" s="5">
        <f t="shared" si="677"/>
        <v>0.39542083333333333</v>
      </c>
    </row>
    <row r="4355" spans="1:38" hidden="1" x14ac:dyDescent="0.2">
      <c r="A4355" s="2">
        <v>2026</v>
      </c>
      <c r="B4355" s="2">
        <v>7</v>
      </c>
      <c r="C4355" s="2" t="s">
        <v>3295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79"/>
        <v>40.71</v>
      </c>
      <c r="V4355" s="2">
        <f t="shared" si="680"/>
        <v>217.71</v>
      </c>
      <c r="W4355" s="2">
        <f>T4355*40%</f>
        <v>70.8</v>
      </c>
      <c r="X4355" s="5">
        <f t="shared" si="676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78"/>
        <v>106.2</v>
      </c>
      <c r="AL4355" s="5">
        <f t="shared" si="677"/>
        <v>0.6</v>
      </c>
    </row>
    <row r="4356" spans="1:38" hidden="1" x14ac:dyDescent="0.2">
      <c r="A4356" s="2">
        <v>2026</v>
      </c>
      <c r="B4356" s="2">
        <v>7</v>
      </c>
      <c r="C4356" s="2" t="s">
        <v>3295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79"/>
        <v>12.65</v>
      </c>
      <c r="V4356" s="2">
        <f t="shared" si="680"/>
        <v>67.650000000000006</v>
      </c>
      <c r="W4356" s="2">
        <f>T4356*50%</f>
        <v>27.5</v>
      </c>
      <c r="X4356" s="5">
        <f t="shared" si="676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78"/>
        <v>27.5</v>
      </c>
      <c r="AL4356" s="5">
        <f t="shared" si="677"/>
        <v>0.5</v>
      </c>
    </row>
    <row r="4357" spans="1:38" hidden="1" x14ac:dyDescent="0.2">
      <c r="A4357" s="2">
        <v>2026</v>
      </c>
      <c r="B4357" s="2">
        <v>7</v>
      </c>
      <c r="C4357" s="2" t="s">
        <v>3295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679"/>
        <v>0</v>
      </c>
      <c r="V4357" s="2">
        <f t="shared" si="680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678"/>
        <v>0</v>
      </c>
      <c r="AL4357" s="5">
        <v>0</v>
      </c>
    </row>
    <row r="4358" spans="1:38" hidden="1" x14ac:dyDescent="0.2">
      <c r="A4358" s="2">
        <v>2026</v>
      </c>
      <c r="B4358" s="2">
        <v>7</v>
      </c>
      <c r="C4358" s="2" t="s">
        <v>3295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679"/>
        <v>0</v>
      </c>
      <c r="V4358" s="2">
        <f t="shared" si="680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678"/>
        <v>0</v>
      </c>
      <c r="AL4358" s="5">
        <v>0</v>
      </c>
    </row>
    <row r="4359" spans="1:38" hidden="1" x14ac:dyDescent="0.2">
      <c r="A4359" s="2">
        <v>2026</v>
      </c>
      <c r="B4359" s="2">
        <v>7</v>
      </c>
      <c r="C4359" s="2" t="s">
        <v>3295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3352</v>
      </c>
      <c r="R4359" s="15" t="s">
        <v>3353</v>
      </c>
      <c r="S4359" s="13">
        <v>1</v>
      </c>
      <c r="T4359" s="14">
        <v>12000</v>
      </c>
      <c r="U4359" s="2">
        <f t="shared" si="679"/>
        <v>2760</v>
      </c>
      <c r="V4359" s="2">
        <f t="shared" si="680"/>
        <v>14760</v>
      </c>
      <c r="W4359" s="2">
        <f>10440+150</f>
        <v>10590</v>
      </c>
      <c r="X4359" s="5">
        <f t="shared" ref="X4359:X4390" si="681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678"/>
        <v>1410</v>
      </c>
      <c r="AL4359" s="5">
        <f t="shared" ref="AL4359:AL4390" si="682">(T4359-W4359)/T4359</f>
        <v>0.11749999999999999</v>
      </c>
    </row>
    <row r="4360" spans="1:38" hidden="1" x14ac:dyDescent="0.2">
      <c r="A4360" s="2">
        <v>2026</v>
      </c>
      <c r="B4360" s="2">
        <v>7</v>
      </c>
      <c r="C4360" s="2" t="s">
        <v>3295</v>
      </c>
      <c r="D4360" s="15" t="s">
        <v>3337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79"/>
        <v>43.7</v>
      </c>
      <c r="V4360" s="2">
        <f t="shared" si="680"/>
        <v>233.7</v>
      </c>
      <c r="W4360" s="2">
        <v>125.51600000000001</v>
      </c>
      <c r="X4360" s="5">
        <f t="shared" si="681"/>
        <v>0.33938947368421052</v>
      </c>
      <c r="Z4360" s="2" t="s">
        <v>3227</v>
      </c>
      <c r="AA4360" s="2" t="s">
        <v>75</v>
      </c>
      <c r="AB4360" s="2" t="s">
        <v>76</v>
      </c>
      <c r="AC4360" s="2" t="s">
        <v>77</v>
      </c>
      <c r="AK4360" s="2">
        <f t="shared" si="678"/>
        <v>64.483999999999995</v>
      </c>
      <c r="AL4360" s="5">
        <f t="shared" si="682"/>
        <v>0.33938947368421052</v>
      </c>
    </row>
    <row r="4361" spans="1:38" hidden="1" x14ac:dyDescent="0.2">
      <c r="A4361" s="2">
        <v>2026</v>
      </c>
      <c r="B4361" s="2">
        <v>7</v>
      </c>
      <c r="C4361" s="2" t="s">
        <v>3295</v>
      </c>
      <c r="D4361" s="15" t="s">
        <v>3337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79"/>
        <v>0.34040000000000004</v>
      </c>
      <c r="V4361" s="2">
        <f t="shared" si="680"/>
        <v>1.8204</v>
      </c>
      <c r="W4361" s="2">
        <v>1.48</v>
      </c>
      <c r="X4361" s="5">
        <f t="shared" si="681"/>
        <v>0</v>
      </c>
      <c r="Z4361" s="2" t="s">
        <v>3227</v>
      </c>
      <c r="AA4361" s="2" t="s">
        <v>96</v>
      </c>
      <c r="AB4361" s="2" t="s">
        <v>76</v>
      </c>
      <c r="AC4361" s="2" t="s">
        <v>93</v>
      </c>
      <c r="AK4361" s="2">
        <f t="shared" si="678"/>
        <v>0</v>
      </c>
      <c r="AL4361" s="5">
        <f t="shared" si="682"/>
        <v>0</v>
      </c>
    </row>
    <row r="4362" spans="1:38" hidden="1" x14ac:dyDescent="0.2">
      <c r="A4362" s="2">
        <v>2026</v>
      </c>
      <c r="B4362" s="2">
        <v>7</v>
      </c>
      <c r="C4362" s="2" t="s">
        <v>3295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79"/>
        <v>18.075700000000001</v>
      </c>
      <c r="V4362" s="2">
        <f t="shared" si="680"/>
        <v>96.665700000000001</v>
      </c>
      <c r="W4362" s="2">
        <f>36.2258</f>
        <v>36.2258</v>
      </c>
      <c r="X4362" s="5">
        <f t="shared" si="681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78"/>
        <v>42.364200000000004</v>
      </c>
      <c r="AL4362" s="5">
        <f t="shared" si="682"/>
        <v>0.53905331467107775</v>
      </c>
    </row>
    <row r="4363" spans="1:38" hidden="1" x14ac:dyDescent="0.2">
      <c r="A4363" s="2">
        <v>2026</v>
      </c>
      <c r="B4363" s="2">
        <v>7</v>
      </c>
      <c r="C4363" s="2" t="s">
        <v>3295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79"/>
        <v>1.61</v>
      </c>
      <c r="V4363" s="2">
        <f t="shared" si="680"/>
        <v>8.61</v>
      </c>
      <c r="W4363" s="2">
        <v>6</v>
      </c>
      <c r="X4363" s="5">
        <f t="shared" si="681"/>
        <v>0.14285714285714285</v>
      </c>
      <c r="Z4363" s="2" t="s">
        <v>169</v>
      </c>
      <c r="AA4363" s="2" t="s">
        <v>169</v>
      </c>
      <c r="AK4363" s="2">
        <f t="shared" si="678"/>
        <v>1</v>
      </c>
      <c r="AL4363" s="5">
        <f t="shared" si="682"/>
        <v>0.14285714285714285</v>
      </c>
    </row>
    <row r="4364" spans="1:38" hidden="1" x14ac:dyDescent="0.2">
      <c r="A4364" s="2">
        <v>2026</v>
      </c>
      <c r="B4364" s="2">
        <v>7</v>
      </c>
      <c r="C4364" s="2" t="s">
        <v>3295</v>
      </c>
      <c r="D4364" s="15" t="s">
        <v>3415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79"/>
        <v>368</v>
      </c>
      <c r="V4364" s="2">
        <f t="shared" si="680"/>
        <v>1968</v>
      </c>
      <c r="W4364" s="2">
        <v>1244.2445</v>
      </c>
      <c r="X4364" s="5">
        <f t="shared" si="681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78"/>
        <v>355.75549999999998</v>
      </c>
      <c r="AL4364" s="5">
        <f t="shared" si="682"/>
        <v>0.22234718749999999</v>
      </c>
    </row>
    <row r="4365" spans="1:38" hidden="1" x14ac:dyDescent="0.2">
      <c r="A4365" s="2">
        <v>2026</v>
      </c>
      <c r="B4365" s="2">
        <v>7</v>
      </c>
      <c r="C4365" s="2" t="s">
        <v>3295</v>
      </c>
      <c r="D4365" s="15" t="s">
        <v>3415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79"/>
        <v>1012</v>
      </c>
      <c r="V4365" s="2">
        <f t="shared" si="680"/>
        <v>5412</v>
      </c>
      <c r="W4365" s="2">
        <f>3229.76+112.87</f>
        <v>3342.63</v>
      </c>
      <c r="X4365" s="5">
        <f t="shared" si="681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78"/>
        <v>1057.3699999999999</v>
      </c>
      <c r="AL4365" s="5">
        <f t="shared" si="682"/>
        <v>0.2403113636363636</v>
      </c>
    </row>
    <row r="4366" spans="1:38" hidden="1" x14ac:dyDescent="0.2">
      <c r="A4366" s="2">
        <v>2026</v>
      </c>
      <c r="B4366" s="2">
        <v>7</v>
      </c>
      <c r="C4366" s="2" t="s">
        <v>3296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679"/>
        <v>13.510200000000001</v>
      </c>
      <c r="V4366" s="2">
        <f t="shared" si="680"/>
        <v>72.250200000000007</v>
      </c>
      <c r="W4366" s="2">
        <v>27.86</v>
      </c>
      <c r="X4366" s="5">
        <f t="shared" si="681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78"/>
        <v>30.880000000000003</v>
      </c>
      <c r="AL4366" s="5">
        <f t="shared" si="682"/>
        <v>0.52570650323459311</v>
      </c>
    </row>
    <row r="4367" spans="1:38" hidden="1" x14ac:dyDescent="0.2">
      <c r="A4367" s="2">
        <v>2026</v>
      </c>
      <c r="B4367" s="2">
        <v>7</v>
      </c>
      <c r="C4367" s="2" t="s">
        <v>3296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79"/>
        <v>12.65</v>
      </c>
      <c r="V4367" s="2">
        <f t="shared" si="680"/>
        <v>67.650000000000006</v>
      </c>
      <c r="W4367" s="2">
        <f>T4367*40%</f>
        <v>22</v>
      </c>
      <c r="X4367" s="5">
        <f t="shared" si="681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78"/>
        <v>33</v>
      </c>
      <c r="AL4367" s="5">
        <f t="shared" si="682"/>
        <v>0.6</v>
      </c>
    </row>
    <row r="4368" spans="1:38" hidden="1" x14ac:dyDescent="0.2">
      <c r="A4368" s="2">
        <v>2026</v>
      </c>
      <c r="B4368" s="2">
        <v>7</v>
      </c>
      <c r="C4368" s="2" t="s">
        <v>3296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79"/>
        <v>18.975000000000001</v>
      </c>
      <c r="V4368" s="2">
        <f t="shared" si="680"/>
        <v>101.47499999999999</v>
      </c>
      <c r="W4368" s="2">
        <f>T4368*50%</f>
        <v>41.25</v>
      </c>
      <c r="X4368" s="5">
        <f t="shared" si="681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78"/>
        <v>41.25</v>
      </c>
      <c r="AL4368" s="5">
        <f t="shared" si="682"/>
        <v>0.5</v>
      </c>
    </row>
    <row r="4369" spans="1:38" hidden="1" x14ac:dyDescent="0.2">
      <c r="A4369" s="2">
        <v>2026</v>
      </c>
      <c r="B4369" s="2">
        <v>7</v>
      </c>
      <c r="C4369" s="2" t="s">
        <v>3296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79"/>
        <v>2.1482000000000001</v>
      </c>
      <c r="V4369" s="2">
        <f t="shared" si="680"/>
        <v>11.488199999999999</v>
      </c>
      <c r="W4369" s="2">
        <f>T4369*70%</f>
        <v>6.5379999999999994</v>
      </c>
      <c r="X4369" s="5">
        <f t="shared" si="681"/>
        <v>0.30000000000000004</v>
      </c>
      <c r="Z4369" s="2" t="s">
        <v>119</v>
      </c>
      <c r="AA4369" s="2" t="s">
        <v>3380</v>
      </c>
      <c r="AK4369" s="2">
        <f t="shared" si="678"/>
        <v>2.8020000000000005</v>
      </c>
      <c r="AL4369" s="5">
        <f t="shared" si="682"/>
        <v>0.30000000000000004</v>
      </c>
    </row>
    <row r="4370" spans="1:38" hidden="1" x14ac:dyDescent="0.2">
      <c r="A4370" s="2">
        <v>2026</v>
      </c>
      <c r="B4370" s="2">
        <v>7</v>
      </c>
      <c r="C4370" s="2" t="s">
        <v>3296</v>
      </c>
      <c r="D4370" s="15" t="s">
        <v>3338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79"/>
        <v>160.839</v>
      </c>
      <c r="V4370" s="2">
        <f t="shared" si="680"/>
        <v>860.1389999999999</v>
      </c>
      <c r="W4370" s="2">
        <v>343.38580000000002</v>
      </c>
      <c r="X4370" s="5">
        <f t="shared" si="681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78"/>
        <v>355.91419999999994</v>
      </c>
      <c r="AL4370" s="5">
        <f t="shared" si="682"/>
        <v>0.50895781495781489</v>
      </c>
    </row>
    <row r="4371" spans="1:38" hidden="1" x14ac:dyDescent="0.2">
      <c r="A4371" s="2">
        <v>2026</v>
      </c>
      <c r="B4371" s="2">
        <v>7</v>
      </c>
      <c r="C4371" s="2" t="s">
        <v>3296</v>
      </c>
      <c r="D4371" s="15" t="s">
        <v>3338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79"/>
        <v>40.25</v>
      </c>
      <c r="V4371" s="2">
        <f t="shared" si="680"/>
        <v>215.25</v>
      </c>
      <c r="W4371" s="2">
        <f>T4371*40%</f>
        <v>70</v>
      </c>
      <c r="X4371" s="5">
        <f t="shared" si="681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78"/>
        <v>105</v>
      </c>
      <c r="AL4371" s="5">
        <f t="shared" si="682"/>
        <v>0.6</v>
      </c>
    </row>
    <row r="4372" spans="1:38" hidden="1" x14ac:dyDescent="0.2">
      <c r="A4372" s="2">
        <v>2026</v>
      </c>
      <c r="B4372" s="2">
        <v>7</v>
      </c>
      <c r="C4372" s="2" t="s">
        <v>3296</v>
      </c>
      <c r="D4372" s="15" t="s">
        <v>3338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79"/>
        <v>12.65</v>
      </c>
      <c r="V4372" s="2">
        <f t="shared" si="680"/>
        <v>67.650000000000006</v>
      </c>
      <c r="W4372" s="2">
        <f>T4372*50%</f>
        <v>27.5</v>
      </c>
      <c r="X4372" s="5">
        <f t="shared" si="681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78"/>
        <v>27.5</v>
      </c>
      <c r="AL4372" s="5">
        <f t="shared" si="682"/>
        <v>0.5</v>
      </c>
    </row>
    <row r="4373" spans="1:38" hidden="1" x14ac:dyDescent="0.2">
      <c r="A4373" s="2">
        <v>2026</v>
      </c>
      <c r="B4373" s="2">
        <v>7</v>
      </c>
      <c r="C4373" s="8" t="s">
        <v>3295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79"/>
        <v>2.99</v>
      </c>
      <c r="V4373" s="2">
        <f t="shared" si="680"/>
        <v>15.99</v>
      </c>
      <c r="W4373" s="2">
        <f>6.6267*S4373</f>
        <v>6.6266999999999996</v>
      </c>
      <c r="X4373" s="5">
        <f t="shared" si="681"/>
        <v>0.49025384615384621</v>
      </c>
      <c r="Z4373" s="2" t="s">
        <v>3227</v>
      </c>
      <c r="AA4373" s="2" t="s">
        <v>46</v>
      </c>
      <c r="AB4373" s="2" t="s">
        <v>47</v>
      </c>
      <c r="AC4373" s="2" t="s">
        <v>57</v>
      </c>
      <c r="AK4373" s="2">
        <f t="shared" si="678"/>
        <v>6.3733000000000004</v>
      </c>
      <c r="AL4373" s="5">
        <f t="shared" si="682"/>
        <v>0.49025384615384621</v>
      </c>
    </row>
    <row r="4374" spans="1:38" hidden="1" x14ac:dyDescent="0.2">
      <c r="A4374" s="2">
        <v>2026</v>
      </c>
      <c r="B4374" s="2">
        <v>7</v>
      </c>
      <c r="C4374" s="8" t="s">
        <v>3295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79"/>
        <v>8.2800000000000011</v>
      </c>
      <c r="V4374" s="2">
        <f t="shared" si="680"/>
        <v>44.28</v>
      </c>
      <c r="W4374" s="2">
        <f>10.6*S4374</f>
        <v>21.2</v>
      </c>
      <c r="X4374" s="5">
        <f t="shared" si="681"/>
        <v>0.41111111111111115</v>
      </c>
      <c r="Z4374" s="2" t="s">
        <v>3227</v>
      </c>
      <c r="AA4374" s="2" t="s">
        <v>46</v>
      </c>
      <c r="AB4374" s="2" t="s">
        <v>56</v>
      </c>
      <c r="AC4374" s="2" t="s">
        <v>57</v>
      </c>
      <c r="AK4374" s="2">
        <f t="shared" si="678"/>
        <v>14.8</v>
      </c>
      <c r="AL4374" s="5">
        <f t="shared" si="682"/>
        <v>0.41111111111111115</v>
      </c>
    </row>
    <row r="4375" spans="1:38" hidden="1" x14ac:dyDescent="0.2">
      <c r="A4375" s="2">
        <v>2026</v>
      </c>
      <c r="B4375" s="2">
        <v>7</v>
      </c>
      <c r="C4375" s="8" t="s">
        <v>3295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83">T4375*23%</f>
        <v>2.99</v>
      </c>
      <c r="V4375" s="2">
        <f t="shared" ref="V4375:V4406" si="684">T4375+U4375</f>
        <v>15.99</v>
      </c>
      <c r="W4375" s="2">
        <f>0.0914*S4375</f>
        <v>9.1399999999999988</v>
      </c>
      <c r="X4375" s="5">
        <f t="shared" si="681"/>
        <v>0.29692307692307701</v>
      </c>
      <c r="Z4375" s="2" t="s">
        <v>3227</v>
      </c>
      <c r="AA4375" s="2" t="s">
        <v>46</v>
      </c>
      <c r="AB4375" s="2" t="s">
        <v>60</v>
      </c>
      <c r="AC4375" s="2" t="s">
        <v>57</v>
      </c>
      <c r="AK4375" s="2">
        <f t="shared" si="678"/>
        <v>3.8600000000000012</v>
      </c>
      <c r="AL4375" s="5">
        <f t="shared" si="682"/>
        <v>0.29692307692307701</v>
      </c>
    </row>
    <row r="4376" spans="1:38" hidden="1" x14ac:dyDescent="0.2">
      <c r="A4376" s="2">
        <v>2026</v>
      </c>
      <c r="B4376" s="2">
        <v>7</v>
      </c>
      <c r="C4376" s="8" t="s">
        <v>3295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83"/>
        <v>1.84</v>
      </c>
      <c r="V4376" s="2">
        <f t="shared" si="684"/>
        <v>9.84</v>
      </c>
      <c r="W4376" s="2">
        <v>6</v>
      </c>
      <c r="X4376" s="5">
        <f t="shared" si="681"/>
        <v>0.25</v>
      </c>
      <c r="Z4376" s="2" t="s">
        <v>169</v>
      </c>
      <c r="AA4376" s="2" t="s">
        <v>169</v>
      </c>
      <c r="AK4376" s="2">
        <f t="shared" si="678"/>
        <v>2</v>
      </c>
      <c r="AL4376" s="5">
        <f t="shared" si="682"/>
        <v>0.25</v>
      </c>
    </row>
    <row r="4377" spans="1:38" hidden="1" x14ac:dyDescent="0.2">
      <c r="A4377" s="2">
        <v>2026</v>
      </c>
      <c r="B4377" s="2">
        <v>7</v>
      </c>
      <c r="C4377" s="2" t="s">
        <v>3294</v>
      </c>
      <c r="D4377" s="15" t="s">
        <v>3339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83"/>
        <v>9.66</v>
      </c>
      <c r="V4377" s="2">
        <f t="shared" si="684"/>
        <v>51.66</v>
      </c>
      <c r="W4377" s="2">
        <f>14.4*S4377</f>
        <v>28.8</v>
      </c>
      <c r="X4377" s="5">
        <f t="shared" si="681"/>
        <v>0.31428571428571428</v>
      </c>
      <c r="Z4377" s="2" t="s">
        <v>3227</v>
      </c>
      <c r="AA4377" s="2" t="s">
        <v>46</v>
      </c>
      <c r="AB4377" s="2" t="s">
        <v>47</v>
      </c>
      <c r="AC4377" s="2" t="s">
        <v>57</v>
      </c>
      <c r="AK4377" s="2">
        <f t="shared" si="678"/>
        <v>13.2</v>
      </c>
      <c r="AL4377" s="5">
        <f t="shared" si="682"/>
        <v>0.31428571428571428</v>
      </c>
    </row>
    <row r="4378" spans="1:38" hidden="1" x14ac:dyDescent="0.2">
      <c r="A4378" s="2">
        <v>2026</v>
      </c>
      <c r="B4378" s="2">
        <v>7</v>
      </c>
      <c r="C4378" s="2" t="s">
        <v>3294</v>
      </c>
      <c r="D4378" s="15" t="s">
        <v>3339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83"/>
        <v>19.55</v>
      </c>
      <c r="V4378" s="2">
        <f t="shared" si="684"/>
        <v>104.55</v>
      </c>
      <c r="W4378" s="2">
        <f>10.6*S4378</f>
        <v>53</v>
      </c>
      <c r="X4378" s="5">
        <f t="shared" si="681"/>
        <v>0.37647058823529411</v>
      </c>
      <c r="Z4378" s="2" t="s">
        <v>3227</v>
      </c>
      <c r="AA4378" s="2" t="s">
        <v>46</v>
      </c>
      <c r="AB4378" s="2" t="s">
        <v>56</v>
      </c>
      <c r="AC4378" s="2" t="s">
        <v>57</v>
      </c>
      <c r="AK4378" s="2">
        <f t="shared" si="678"/>
        <v>32</v>
      </c>
      <c r="AL4378" s="5">
        <f t="shared" si="682"/>
        <v>0.37647058823529411</v>
      </c>
    </row>
    <row r="4379" spans="1:38" hidden="1" x14ac:dyDescent="0.2">
      <c r="A4379" s="2">
        <v>2026</v>
      </c>
      <c r="B4379" s="2">
        <v>7</v>
      </c>
      <c r="C4379" s="2" t="s">
        <v>3294</v>
      </c>
      <c r="D4379" s="15" t="s">
        <v>3339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83"/>
        <v>10.58</v>
      </c>
      <c r="V4379" s="2">
        <f t="shared" si="684"/>
        <v>56.58</v>
      </c>
      <c r="W4379" s="2">
        <f>0.082*S4379</f>
        <v>32.800000000000004</v>
      </c>
      <c r="X4379" s="5">
        <f t="shared" si="681"/>
        <v>0.28695652173913033</v>
      </c>
      <c r="Z4379" s="2" t="s">
        <v>3227</v>
      </c>
      <c r="AA4379" s="2" t="s">
        <v>46</v>
      </c>
      <c r="AB4379" s="2" t="s">
        <v>60</v>
      </c>
      <c r="AC4379" s="2" t="s">
        <v>57</v>
      </c>
      <c r="AK4379" s="2">
        <f t="shared" si="678"/>
        <v>13.199999999999996</v>
      </c>
      <c r="AL4379" s="5">
        <f t="shared" si="682"/>
        <v>0.28695652173913033</v>
      </c>
    </row>
    <row r="4380" spans="1:38" hidden="1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83"/>
        <v>156.14930000000001</v>
      </c>
      <c r="V4380" s="2">
        <f t="shared" si="684"/>
        <v>835.05930000000001</v>
      </c>
      <c r="X4380" s="5">
        <f t="shared" si="681"/>
        <v>1</v>
      </c>
      <c r="Z4380" s="2" t="s">
        <v>119</v>
      </c>
      <c r="AA4380" s="2" t="s">
        <v>492</v>
      </c>
      <c r="AK4380" s="2">
        <f t="shared" si="678"/>
        <v>678.91</v>
      </c>
      <c r="AL4380" s="5">
        <f t="shared" si="682"/>
        <v>1</v>
      </c>
    </row>
    <row r="4381" spans="1:38" hidden="1" x14ac:dyDescent="0.2">
      <c r="A4381" s="2">
        <v>2026</v>
      </c>
      <c r="B4381" s="2">
        <v>7</v>
      </c>
      <c r="C4381" s="2" t="s">
        <v>3296</v>
      </c>
      <c r="D4381" s="15" t="s">
        <v>3340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83"/>
        <v>160.839</v>
      </c>
      <c r="V4381" s="2">
        <f t="shared" si="684"/>
        <v>860.1389999999999</v>
      </c>
      <c r="W4381" s="2">
        <v>343.38580000000002</v>
      </c>
      <c r="X4381" s="5">
        <f t="shared" si="681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78"/>
        <v>355.91419999999994</v>
      </c>
      <c r="AL4381" s="5">
        <f t="shared" si="682"/>
        <v>0.50895781495781489</v>
      </c>
    </row>
    <row r="4382" spans="1:38" hidden="1" x14ac:dyDescent="0.2">
      <c r="A4382" s="2">
        <v>2026</v>
      </c>
      <c r="B4382" s="2">
        <v>7</v>
      </c>
      <c r="C4382" s="2" t="s">
        <v>3296</v>
      </c>
      <c r="D4382" s="15" t="s">
        <v>3340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83"/>
        <v>13.8</v>
      </c>
      <c r="V4382" s="2">
        <f t="shared" si="684"/>
        <v>73.8</v>
      </c>
      <c r="W4382" s="2">
        <f>T4382*40%</f>
        <v>24</v>
      </c>
      <c r="X4382" s="5">
        <f t="shared" si="681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78"/>
        <v>36</v>
      </c>
      <c r="AL4382" s="5">
        <f t="shared" si="682"/>
        <v>0.6</v>
      </c>
    </row>
    <row r="4383" spans="1:38" hidden="1" x14ac:dyDescent="0.2">
      <c r="A4383" s="2">
        <v>2026</v>
      </c>
      <c r="B4383" s="2">
        <v>7</v>
      </c>
      <c r="C4383" s="2" t="s">
        <v>3296</v>
      </c>
      <c r="D4383" s="15" t="s">
        <v>3340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83"/>
        <v>12.65</v>
      </c>
      <c r="V4383" s="2">
        <f t="shared" si="684"/>
        <v>67.650000000000006</v>
      </c>
      <c r="W4383" s="2">
        <f>T4383*50%</f>
        <v>27.5</v>
      </c>
      <c r="X4383" s="5">
        <f t="shared" si="681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78"/>
        <v>27.5</v>
      </c>
      <c r="AL4383" s="5">
        <f t="shared" si="682"/>
        <v>0.5</v>
      </c>
    </row>
    <row r="4384" spans="1:38" hidden="1" x14ac:dyDescent="0.2">
      <c r="A4384" s="2">
        <v>2026</v>
      </c>
      <c r="B4384" s="2">
        <v>7</v>
      </c>
      <c r="C4384" s="8" t="s">
        <v>3295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83"/>
        <v>92.69</v>
      </c>
      <c r="V4384" s="2">
        <f t="shared" si="684"/>
        <v>495.69</v>
      </c>
      <c r="W4384" s="2">
        <f>T4384*40%</f>
        <v>161.20000000000002</v>
      </c>
      <c r="X4384" s="5">
        <f t="shared" si="681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78"/>
        <v>241.79999999999998</v>
      </c>
      <c r="AL4384" s="5">
        <f t="shared" si="682"/>
        <v>0.6</v>
      </c>
    </row>
    <row r="4385" spans="1:38" hidden="1" x14ac:dyDescent="0.2">
      <c r="A4385" s="2">
        <v>2026</v>
      </c>
      <c r="B4385" s="2">
        <v>7</v>
      </c>
      <c r="C4385" s="8" t="s">
        <v>3295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83"/>
        <v>12.65</v>
      </c>
      <c r="V4385" s="2">
        <f t="shared" si="684"/>
        <v>67.650000000000006</v>
      </c>
      <c r="W4385" s="2">
        <f>T4385*50%</f>
        <v>27.5</v>
      </c>
      <c r="X4385" s="5">
        <f t="shared" si="681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78"/>
        <v>27.5</v>
      </c>
      <c r="AL4385" s="5">
        <f t="shared" si="682"/>
        <v>0.5</v>
      </c>
    </row>
    <row r="4386" spans="1:38" hidden="1" x14ac:dyDescent="0.2">
      <c r="A4386" s="2">
        <v>2026</v>
      </c>
      <c r="B4386" s="2">
        <v>7</v>
      </c>
      <c r="C4386" s="8" t="s">
        <v>3295</v>
      </c>
      <c r="D4386" s="15" t="s">
        <v>3109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3354</v>
      </c>
      <c r="R4386" s="15" t="s">
        <v>3355</v>
      </c>
      <c r="S4386" s="13">
        <v>2</v>
      </c>
      <c r="T4386" s="14">
        <v>32.549999999999997</v>
      </c>
      <c r="U4386" s="2">
        <f t="shared" si="683"/>
        <v>7.4864999999999995</v>
      </c>
      <c r="V4386" s="2">
        <f t="shared" si="684"/>
        <v>40.036499999999997</v>
      </c>
      <c r="W4386" s="2">
        <f>(7.38+0.13)*S4386</f>
        <v>15.02</v>
      </c>
      <c r="X4386" s="5">
        <f t="shared" si="681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78"/>
        <v>17.529999999999998</v>
      </c>
      <c r="AL4386" s="5">
        <f t="shared" si="682"/>
        <v>0.53855606758832564</v>
      </c>
    </row>
    <row r="4387" spans="1:38" hidden="1" x14ac:dyDescent="0.2">
      <c r="A4387" s="2">
        <v>2026</v>
      </c>
      <c r="B4387" s="2">
        <v>7</v>
      </c>
      <c r="C4387" s="2" t="s">
        <v>3296</v>
      </c>
      <c r="D4387" s="15" t="s">
        <v>2904</v>
      </c>
      <c r="E4387" s="2" t="s">
        <v>38</v>
      </c>
      <c r="F4387" s="2" t="s">
        <v>3445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83"/>
        <v>6.67</v>
      </c>
      <c r="V4387" s="2">
        <f t="shared" si="684"/>
        <v>35.67</v>
      </c>
      <c r="W4387" s="2">
        <f>14.5099*S4387</f>
        <v>14.5099</v>
      </c>
      <c r="X4387" s="5">
        <f t="shared" si="681"/>
        <v>0.49965862068965516</v>
      </c>
      <c r="Z4387" s="2" t="s">
        <v>3227</v>
      </c>
      <c r="AA4387" s="2" t="s">
        <v>46</v>
      </c>
      <c r="AB4387" s="2" t="s">
        <v>60</v>
      </c>
      <c r="AC4387" s="2" t="s">
        <v>3332</v>
      </c>
      <c r="AK4387" s="2">
        <f t="shared" si="678"/>
        <v>14.4901</v>
      </c>
      <c r="AL4387" s="5">
        <f t="shared" si="682"/>
        <v>0.49965862068965516</v>
      </c>
    </row>
    <row r="4388" spans="1:38" hidden="1" x14ac:dyDescent="0.2">
      <c r="A4388" s="2">
        <v>2026</v>
      </c>
      <c r="B4388" s="2">
        <v>7</v>
      </c>
      <c r="C4388" s="8" t="s">
        <v>3295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3356</v>
      </c>
      <c r="R4388" s="15" t="s">
        <v>79</v>
      </c>
      <c r="S4388" s="13">
        <v>1</v>
      </c>
      <c r="T4388" s="14">
        <v>220</v>
      </c>
      <c r="U4388" s="2">
        <f t="shared" si="683"/>
        <v>50.6</v>
      </c>
      <c r="V4388" s="2">
        <f t="shared" si="684"/>
        <v>270.60000000000002</v>
      </c>
      <c r="W4388" s="2">
        <v>125.15</v>
      </c>
      <c r="X4388" s="5">
        <f t="shared" si="681"/>
        <v>0.4311363636363636</v>
      </c>
      <c r="Z4388" s="2" t="s">
        <v>3227</v>
      </c>
      <c r="AA4388" s="2" t="s">
        <v>75</v>
      </c>
      <c r="AB4388" s="2" t="s">
        <v>76</v>
      </c>
      <c r="AC4388" s="2" t="s">
        <v>77</v>
      </c>
      <c r="AK4388" s="2">
        <f t="shared" si="678"/>
        <v>94.85</v>
      </c>
      <c r="AL4388" s="5">
        <f t="shared" si="682"/>
        <v>0.4311363636363636</v>
      </c>
    </row>
    <row r="4389" spans="1:38" hidden="1" x14ac:dyDescent="0.2">
      <c r="A4389" s="2">
        <v>2026</v>
      </c>
      <c r="B4389" s="2">
        <v>7</v>
      </c>
      <c r="C4389" s="8" t="s">
        <v>3295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83"/>
        <v>0.34040000000000004</v>
      </c>
      <c r="V4389" s="2">
        <f t="shared" si="684"/>
        <v>1.8204</v>
      </c>
      <c r="W4389" s="2">
        <v>1.48</v>
      </c>
      <c r="X4389" s="5">
        <f t="shared" si="681"/>
        <v>0</v>
      </c>
      <c r="Z4389" s="2" t="s">
        <v>3227</v>
      </c>
      <c r="AA4389" s="2" t="s">
        <v>96</v>
      </c>
      <c r="AB4389" s="2" t="s">
        <v>76</v>
      </c>
      <c r="AC4389" s="2" t="s">
        <v>93</v>
      </c>
      <c r="AK4389" s="2">
        <f t="shared" si="678"/>
        <v>0</v>
      </c>
      <c r="AL4389" s="5">
        <f t="shared" si="682"/>
        <v>0</v>
      </c>
    </row>
    <row r="4390" spans="1:38" hidden="1" x14ac:dyDescent="0.2">
      <c r="A4390" s="2">
        <v>2026</v>
      </c>
      <c r="B4390" s="2">
        <v>7</v>
      </c>
      <c r="C4390" s="8" t="s">
        <v>3295</v>
      </c>
      <c r="D4390" s="15" t="s">
        <v>3341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83"/>
        <v>68.08</v>
      </c>
      <c r="V4390" s="2">
        <f t="shared" si="684"/>
        <v>364.08</v>
      </c>
      <c r="W4390" s="2">
        <f>T4390*40%</f>
        <v>118.4</v>
      </c>
      <c r="X4390" s="5">
        <f t="shared" si="681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78"/>
        <v>177.6</v>
      </c>
      <c r="AL4390" s="5">
        <f t="shared" si="682"/>
        <v>0.6</v>
      </c>
    </row>
    <row r="4391" spans="1:38" hidden="1" x14ac:dyDescent="0.2">
      <c r="A4391" s="2">
        <v>2026</v>
      </c>
      <c r="B4391" s="2">
        <v>7</v>
      </c>
      <c r="C4391" s="8" t="s">
        <v>3295</v>
      </c>
      <c r="D4391" s="15" t="s">
        <v>3341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83"/>
        <v>12.65</v>
      </c>
      <c r="V4391" s="2">
        <f t="shared" si="684"/>
        <v>67.650000000000006</v>
      </c>
      <c r="W4391" s="2">
        <f>T4391*50%</f>
        <v>27.5</v>
      </c>
      <c r="X4391" s="5">
        <f t="shared" ref="X4391:X4422" si="685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78"/>
        <v>27.5</v>
      </c>
      <c r="AL4391" s="5">
        <f t="shared" ref="AL4391:AL4422" si="686">(T4391-W4391)/T4391</f>
        <v>0.5</v>
      </c>
    </row>
    <row r="4392" spans="1:38" hidden="1" x14ac:dyDescent="0.2">
      <c r="A4392" s="2">
        <v>2026</v>
      </c>
      <c r="B4392" s="2">
        <v>7</v>
      </c>
      <c r="C4392" s="2" t="s">
        <v>3296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83"/>
        <v>51.75</v>
      </c>
      <c r="V4392" s="2">
        <f t="shared" si="684"/>
        <v>276.75</v>
      </c>
      <c r="W4392" s="2">
        <v>125.51600000000001</v>
      </c>
      <c r="X4392" s="5">
        <f t="shared" si="685"/>
        <v>0.44215111111111111</v>
      </c>
      <c r="Z4392" s="2" t="s">
        <v>3227</v>
      </c>
      <c r="AA4392" s="2" t="s">
        <v>75</v>
      </c>
      <c r="AB4392" s="2" t="s">
        <v>76</v>
      </c>
      <c r="AC4392" s="2" t="s">
        <v>77</v>
      </c>
      <c r="AK4392" s="2">
        <f t="shared" si="678"/>
        <v>99.483999999999995</v>
      </c>
      <c r="AL4392" s="5">
        <f t="shared" si="686"/>
        <v>0.44215111111111111</v>
      </c>
    </row>
    <row r="4393" spans="1:38" hidden="1" x14ac:dyDescent="0.2">
      <c r="A4393" s="2">
        <v>2026</v>
      </c>
      <c r="B4393" s="2">
        <v>7</v>
      </c>
      <c r="C4393" s="2" t="s">
        <v>3296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83"/>
        <v>0.34040000000000004</v>
      </c>
      <c r="V4393" s="2">
        <f t="shared" si="684"/>
        <v>1.8204</v>
      </c>
      <c r="W4393" s="2">
        <v>1.48</v>
      </c>
      <c r="X4393" s="5">
        <f t="shared" si="685"/>
        <v>0</v>
      </c>
      <c r="Z4393" s="2" t="s">
        <v>3227</v>
      </c>
      <c r="AA4393" s="2" t="s">
        <v>96</v>
      </c>
      <c r="AB4393" s="2" t="s">
        <v>76</v>
      </c>
      <c r="AC4393" s="2" t="s">
        <v>93</v>
      </c>
      <c r="AK4393" s="2">
        <f t="shared" si="678"/>
        <v>0</v>
      </c>
      <c r="AL4393" s="5">
        <f t="shared" si="686"/>
        <v>0</v>
      </c>
    </row>
    <row r="4394" spans="1:38" hidden="1" x14ac:dyDescent="0.2">
      <c r="A4394" s="2">
        <v>2026</v>
      </c>
      <c r="B4394" s="2">
        <v>7</v>
      </c>
      <c r="C4394" s="8" t="s">
        <v>3295</v>
      </c>
      <c r="D4394" s="15" t="s">
        <v>3342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3357</v>
      </c>
      <c r="R4394" s="15" t="s">
        <v>197</v>
      </c>
      <c r="S4394" s="13">
        <v>1</v>
      </c>
      <c r="T4394" s="14">
        <v>375</v>
      </c>
      <c r="U4394" s="2">
        <f t="shared" si="683"/>
        <v>86.25</v>
      </c>
      <c r="V4394" s="2">
        <f t="shared" si="684"/>
        <v>461.25</v>
      </c>
      <c r="W4394" s="2">
        <v>227.14</v>
      </c>
      <c r="X4394" s="5">
        <f t="shared" si="685"/>
        <v>0.39429333333333338</v>
      </c>
      <c r="Z4394" s="2" t="s">
        <v>3227</v>
      </c>
      <c r="AA4394" s="2" t="s">
        <v>75</v>
      </c>
      <c r="AB4394" s="2" t="s">
        <v>76</v>
      </c>
      <c r="AC4394" s="2" t="s">
        <v>77</v>
      </c>
      <c r="AK4394" s="2">
        <f t="shared" si="678"/>
        <v>147.86000000000001</v>
      </c>
      <c r="AL4394" s="5">
        <f t="shared" si="686"/>
        <v>0.39429333333333338</v>
      </c>
    </row>
    <row r="4395" spans="1:38" hidden="1" x14ac:dyDescent="0.2">
      <c r="A4395" s="2">
        <v>2026</v>
      </c>
      <c r="B4395" s="2">
        <v>7</v>
      </c>
      <c r="C4395" s="8" t="s">
        <v>3295</v>
      </c>
      <c r="D4395" s="15" t="s">
        <v>3342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83"/>
        <v>0.34040000000000004</v>
      </c>
      <c r="V4395" s="2">
        <f t="shared" si="684"/>
        <v>1.8204</v>
      </c>
      <c r="W4395" s="2">
        <v>1.48</v>
      </c>
      <c r="X4395" s="5">
        <f t="shared" si="685"/>
        <v>0</v>
      </c>
      <c r="Z4395" s="2" t="s">
        <v>3227</v>
      </c>
      <c r="AA4395" s="2" t="s">
        <v>96</v>
      </c>
      <c r="AB4395" s="2" t="s">
        <v>76</v>
      </c>
      <c r="AC4395" s="2" t="s">
        <v>93</v>
      </c>
      <c r="AK4395" s="2">
        <f t="shared" si="678"/>
        <v>0</v>
      </c>
      <c r="AL4395" s="5">
        <f t="shared" si="686"/>
        <v>0</v>
      </c>
    </row>
    <row r="4396" spans="1:38" hidden="1" x14ac:dyDescent="0.2">
      <c r="A4396" s="2">
        <v>2026</v>
      </c>
      <c r="B4396" s="2">
        <v>7</v>
      </c>
      <c r="C4396" s="2" t="s">
        <v>3296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83"/>
        <v>51.75</v>
      </c>
      <c r="V4396" s="2">
        <f t="shared" si="684"/>
        <v>276.75</v>
      </c>
      <c r="W4396" s="2">
        <v>132.35499999999999</v>
      </c>
      <c r="X4396" s="5">
        <f t="shared" si="685"/>
        <v>0.4117555555555556</v>
      </c>
      <c r="Z4396" s="2" t="s">
        <v>3227</v>
      </c>
      <c r="AA4396" s="2" t="s">
        <v>75</v>
      </c>
      <c r="AB4396" s="2" t="s">
        <v>76</v>
      </c>
      <c r="AC4396" s="2" t="s">
        <v>77</v>
      </c>
      <c r="AK4396" s="2">
        <f t="shared" si="678"/>
        <v>92.64500000000001</v>
      </c>
      <c r="AL4396" s="5">
        <f t="shared" si="686"/>
        <v>0.4117555555555556</v>
      </c>
    </row>
    <row r="4397" spans="1:38" hidden="1" x14ac:dyDescent="0.2">
      <c r="A4397" s="2">
        <v>2026</v>
      </c>
      <c r="B4397" s="2">
        <v>7</v>
      </c>
      <c r="C4397" s="2" t="s">
        <v>3296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83"/>
        <v>0.34040000000000004</v>
      </c>
      <c r="V4397" s="2">
        <f t="shared" si="684"/>
        <v>1.8204</v>
      </c>
      <c r="W4397" s="2">
        <v>1.48</v>
      </c>
      <c r="X4397" s="5">
        <f t="shared" si="685"/>
        <v>0</v>
      </c>
      <c r="Z4397" s="2" t="s">
        <v>3227</v>
      </c>
      <c r="AA4397" s="2" t="s">
        <v>96</v>
      </c>
      <c r="AB4397" s="2" t="s">
        <v>76</v>
      </c>
      <c r="AC4397" s="2" t="s">
        <v>93</v>
      </c>
      <c r="AK4397" s="2">
        <f t="shared" si="678"/>
        <v>0</v>
      </c>
      <c r="AL4397" s="5">
        <f t="shared" si="686"/>
        <v>0</v>
      </c>
    </row>
    <row r="4398" spans="1:38" hidden="1" x14ac:dyDescent="0.2">
      <c r="A4398" s="2">
        <v>2026</v>
      </c>
      <c r="B4398" s="2">
        <v>7</v>
      </c>
      <c r="C4398" s="2" t="s">
        <v>3296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83"/>
        <v>8.2800000000000011</v>
      </c>
      <c r="V4398" s="2">
        <f t="shared" si="684"/>
        <v>44.28</v>
      </c>
      <c r="W4398" s="2">
        <f>0.8561*S4398</f>
        <v>17.122</v>
      </c>
      <c r="X4398" s="5">
        <f t="shared" si="685"/>
        <v>0.5243888888888889</v>
      </c>
      <c r="Z4398" s="2" t="s">
        <v>3227</v>
      </c>
      <c r="AA4398" s="2" t="s">
        <v>46</v>
      </c>
      <c r="AB4398" s="2" t="s">
        <v>60</v>
      </c>
      <c r="AC4398" s="2" t="s">
        <v>57</v>
      </c>
      <c r="AK4398" s="2">
        <f t="shared" si="678"/>
        <v>18.878</v>
      </c>
      <c r="AL4398" s="5">
        <f t="shared" si="686"/>
        <v>0.5243888888888889</v>
      </c>
    </row>
    <row r="4399" spans="1:38" hidden="1" x14ac:dyDescent="0.2">
      <c r="A4399" s="2">
        <v>2026</v>
      </c>
      <c r="B4399" s="2">
        <v>7</v>
      </c>
      <c r="C4399" s="2" t="s">
        <v>3296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83"/>
        <v>13.8</v>
      </c>
      <c r="V4399" s="2">
        <f t="shared" si="684"/>
        <v>73.8</v>
      </c>
      <c r="W4399" s="2">
        <f>1.4114*S4399</f>
        <v>28.228000000000002</v>
      </c>
      <c r="X4399" s="5">
        <f t="shared" si="685"/>
        <v>0.5295333333333333</v>
      </c>
      <c r="Z4399" s="2" t="s">
        <v>3227</v>
      </c>
      <c r="AA4399" s="2" t="s">
        <v>46</v>
      </c>
      <c r="AB4399" s="2" t="s">
        <v>60</v>
      </c>
      <c r="AC4399" s="2" t="s">
        <v>57</v>
      </c>
      <c r="AK4399" s="2">
        <f t="shared" si="678"/>
        <v>31.771999999999998</v>
      </c>
      <c r="AL4399" s="5">
        <f t="shared" si="686"/>
        <v>0.5295333333333333</v>
      </c>
    </row>
    <row r="4400" spans="1:38" hidden="1" x14ac:dyDescent="0.2">
      <c r="A4400" s="2">
        <v>2026</v>
      </c>
      <c r="B4400" s="2">
        <v>7</v>
      </c>
      <c r="C4400" s="2" t="s">
        <v>3295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3358</v>
      </c>
      <c r="R4400" s="15" t="s">
        <v>1100</v>
      </c>
      <c r="S4400" s="13">
        <v>1</v>
      </c>
      <c r="T4400" s="14">
        <v>187.92</v>
      </c>
      <c r="U4400" s="2">
        <f t="shared" si="683"/>
        <v>43.221600000000002</v>
      </c>
      <c r="V4400" s="2">
        <f t="shared" si="684"/>
        <v>231.14159999999998</v>
      </c>
      <c r="W4400" s="2">
        <v>49.96</v>
      </c>
      <c r="X4400" s="5">
        <f t="shared" si="685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78"/>
        <v>137.95999999999998</v>
      </c>
      <c r="AL4400" s="5">
        <f t="shared" si="686"/>
        <v>0.73414218816517662</v>
      </c>
    </row>
    <row r="4401" spans="1:38" hidden="1" x14ac:dyDescent="0.2">
      <c r="A4401" s="2">
        <v>2026</v>
      </c>
      <c r="B4401" s="2">
        <v>7</v>
      </c>
      <c r="C4401" s="2" t="s">
        <v>3295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83"/>
        <v>124.00909999999999</v>
      </c>
      <c r="V4401" s="2">
        <f t="shared" si="684"/>
        <v>663.17909999999995</v>
      </c>
      <c r="W4401" s="2">
        <v>257.3</v>
      </c>
      <c r="X4401" s="5">
        <f t="shared" si="685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78"/>
        <v>281.86999999999995</v>
      </c>
      <c r="AL4401" s="5">
        <f t="shared" si="686"/>
        <v>0.52278502142181493</v>
      </c>
    </row>
    <row r="4402" spans="1:38" hidden="1" x14ac:dyDescent="0.2">
      <c r="A4402" s="2">
        <v>2026</v>
      </c>
      <c r="B4402" s="2">
        <v>7</v>
      </c>
      <c r="C4402" s="2" t="s">
        <v>3295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83"/>
        <v>34.270000000000003</v>
      </c>
      <c r="V4402" s="2">
        <f t="shared" si="684"/>
        <v>183.27</v>
      </c>
      <c r="W4402" s="2">
        <f>T4402*40%</f>
        <v>59.6</v>
      </c>
      <c r="X4402" s="5">
        <f t="shared" si="685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78"/>
        <v>89.4</v>
      </c>
      <c r="AL4402" s="5">
        <f t="shared" si="686"/>
        <v>0.60000000000000009</v>
      </c>
    </row>
    <row r="4403" spans="1:38" hidden="1" x14ac:dyDescent="0.2">
      <c r="A4403" s="2">
        <v>2026</v>
      </c>
      <c r="B4403" s="2">
        <v>7</v>
      </c>
      <c r="C4403" s="2" t="s">
        <v>3295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83"/>
        <v>25.3</v>
      </c>
      <c r="V4403" s="2">
        <f t="shared" si="684"/>
        <v>135.30000000000001</v>
      </c>
      <c r="W4403" s="2">
        <f>T4403*50%</f>
        <v>55</v>
      </c>
      <c r="X4403" s="5">
        <f t="shared" si="685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78"/>
        <v>55</v>
      </c>
      <c r="AL4403" s="5">
        <f t="shared" si="686"/>
        <v>0.5</v>
      </c>
    </row>
    <row r="4404" spans="1:38" hidden="1" x14ac:dyDescent="0.2">
      <c r="A4404" s="2">
        <v>2026</v>
      </c>
      <c r="B4404" s="2">
        <v>7</v>
      </c>
      <c r="C4404" s="2" t="s">
        <v>3296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3359</v>
      </c>
      <c r="R4404" s="15" t="s">
        <v>3360</v>
      </c>
      <c r="S4404" s="13">
        <v>8</v>
      </c>
      <c r="T4404" s="14">
        <v>100.8</v>
      </c>
      <c r="U4404" s="2">
        <f t="shared" si="683"/>
        <v>23.184000000000001</v>
      </c>
      <c r="V4404" s="2">
        <f t="shared" si="684"/>
        <v>123.98399999999999</v>
      </c>
      <c r="W4404" s="2">
        <f>3*S4404</f>
        <v>24</v>
      </c>
      <c r="X4404" s="5">
        <f t="shared" si="685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78"/>
        <v>76.8</v>
      </c>
      <c r="AL4404" s="5">
        <f t="shared" si="686"/>
        <v>0.76190476190476186</v>
      </c>
    </row>
    <row r="4405" spans="1:38" hidden="1" x14ac:dyDescent="0.2">
      <c r="A4405" s="2">
        <v>2026</v>
      </c>
      <c r="B4405" s="2">
        <v>7</v>
      </c>
      <c r="C4405" s="2" t="s">
        <v>3296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83"/>
        <v>11.258500000000002</v>
      </c>
      <c r="V4405" s="2">
        <f t="shared" si="684"/>
        <v>60.208500000000001</v>
      </c>
      <c r="W4405" s="2">
        <f>23.042*S4405</f>
        <v>23.042000000000002</v>
      </c>
      <c r="X4405" s="5">
        <f t="shared" si="685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87">T4405-W4405</f>
        <v>25.908000000000001</v>
      </c>
      <c r="AL4405" s="5">
        <f t="shared" si="686"/>
        <v>0.52927477017364655</v>
      </c>
    </row>
    <row r="4406" spans="1:38" hidden="1" x14ac:dyDescent="0.2">
      <c r="A4406" s="2">
        <v>2026</v>
      </c>
      <c r="B4406" s="2">
        <v>7</v>
      </c>
      <c r="C4406" s="2" t="s">
        <v>3296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83"/>
        <v>8.9700000000000006</v>
      </c>
      <c r="V4406" s="2">
        <f t="shared" si="684"/>
        <v>47.97</v>
      </c>
      <c r="W4406" s="2">
        <f>6.6267*S4406</f>
        <v>19.880099999999999</v>
      </c>
      <c r="X4406" s="5">
        <f t="shared" si="685"/>
        <v>0.49025384615384621</v>
      </c>
      <c r="Z4406" s="2" t="s">
        <v>3227</v>
      </c>
      <c r="AA4406" s="2" t="s">
        <v>46</v>
      </c>
      <c r="AB4406" s="2" t="s">
        <v>47</v>
      </c>
      <c r="AC4406" s="2" t="s">
        <v>57</v>
      </c>
      <c r="AK4406" s="2">
        <f t="shared" si="687"/>
        <v>19.119900000000001</v>
      </c>
      <c r="AL4406" s="5">
        <f t="shared" si="686"/>
        <v>0.49025384615384621</v>
      </c>
    </row>
    <row r="4407" spans="1:38" hidden="1" x14ac:dyDescent="0.2">
      <c r="A4407" s="2">
        <v>2026</v>
      </c>
      <c r="B4407" s="2">
        <v>7</v>
      </c>
      <c r="C4407" s="2" t="s">
        <v>3296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88">T4407*23%</f>
        <v>34.5</v>
      </c>
      <c r="V4407" s="2">
        <f t="shared" ref="V4407:V4414" si="689">T4407+U4407</f>
        <v>184.5</v>
      </c>
      <c r="W4407" s="2">
        <f>10.6*S4407</f>
        <v>106</v>
      </c>
      <c r="X4407" s="5">
        <f t="shared" si="685"/>
        <v>0.29333333333333333</v>
      </c>
      <c r="Z4407" s="2" t="s">
        <v>3227</v>
      </c>
      <c r="AA4407" s="2" t="s">
        <v>46</v>
      </c>
      <c r="AB4407" s="2" t="s">
        <v>56</v>
      </c>
      <c r="AC4407" s="2" t="s">
        <v>57</v>
      </c>
      <c r="AK4407" s="2">
        <f t="shared" si="687"/>
        <v>44</v>
      </c>
      <c r="AL4407" s="5">
        <f t="shared" si="686"/>
        <v>0.29333333333333333</v>
      </c>
    </row>
    <row r="4408" spans="1:38" hidden="1" x14ac:dyDescent="0.2">
      <c r="A4408" s="2">
        <v>2026</v>
      </c>
      <c r="B4408" s="2">
        <v>7</v>
      </c>
      <c r="C4408" s="2" t="s">
        <v>3296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88"/>
        <v>3.22</v>
      </c>
      <c r="V4408" s="2">
        <f t="shared" si="689"/>
        <v>17.22</v>
      </c>
      <c r="W4408" s="2">
        <f>0.0914*S4408</f>
        <v>9.1399999999999988</v>
      </c>
      <c r="X4408" s="5">
        <f t="shared" si="685"/>
        <v>0.34714285714285725</v>
      </c>
      <c r="Z4408" s="2" t="s">
        <v>3227</v>
      </c>
      <c r="AA4408" s="2" t="s">
        <v>46</v>
      </c>
      <c r="AB4408" s="2" t="s">
        <v>60</v>
      </c>
      <c r="AC4408" s="2" t="s">
        <v>57</v>
      </c>
      <c r="AK4408" s="2">
        <f t="shared" si="687"/>
        <v>4.8600000000000012</v>
      </c>
      <c r="AL4408" s="5">
        <f t="shared" si="686"/>
        <v>0.34714285714285725</v>
      </c>
    </row>
    <row r="4409" spans="1:38" hidden="1" x14ac:dyDescent="0.2">
      <c r="A4409" s="2">
        <v>2026</v>
      </c>
      <c r="B4409" s="2">
        <v>7</v>
      </c>
      <c r="C4409" s="2" t="s">
        <v>3296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88"/>
        <v>17.48</v>
      </c>
      <c r="V4409" s="2">
        <f t="shared" si="689"/>
        <v>93.48</v>
      </c>
      <c r="W4409" s="2">
        <f>T4409*40%</f>
        <v>30.400000000000002</v>
      </c>
      <c r="X4409" s="5">
        <f t="shared" si="685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87"/>
        <v>45.599999999999994</v>
      </c>
      <c r="AL4409" s="5">
        <f t="shared" si="686"/>
        <v>0.6</v>
      </c>
    </row>
    <row r="4410" spans="1:38" hidden="1" x14ac:dyDescent="0.2">
      <c r="A4410" s="2">
        <v>2026</v>
      </c>
      <c r="B4410" s="2">
        <v>7</v>
      </c>
      <c r="C4410" s="2" t="s">
        <v>3296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88"/>
        <v>12.65</v>
      </c>
      <c r="V4410" s="2">
        <f t="shared" si="689"/>
        <v>67.650000000000006</v>
      </c>
      <c r="W4410" s="2">
        <f>T4410*50%</f>
        <v>27.5</v>
      </c>
      <c r="X4410" s="5">
        <f t="shared" si="685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87"/>
        <v>27.5</v>
      </c>
      <c r="AL4410" s="5">
        <f t="shared" si="686"/>
        <v>0.5</v>
      </c>
    </row>
    <row r="4411" spans="1:38" hidden="1" x14ac:dyDescent="0.2">
      <c r="A4411" s="2">
        <v>2026</v>
      </c>
      <c r="B4411" s="2">
        <v>7</v>
      </c>
      <c r="C4411" s="2" t="s">
        <v>3296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88"/>
        <v>10.143000000000001</v>
      </c>
      <c r="V4411" s="2">
        <f t="shared" si="689"/>
        <v>54.243000000000002</v>
      </c>
      <c r="W4411" s="2">
        <f>11.098*S4411</f>
        <v>22.196000000000002</v>
      </c>
      <c r="X4411" s="5">
        <f t="shared" si="685"/>
        <v>0.49668934240362811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87"/>
        <v>21.904</v>
      </c>
      <c r="AL4411" s="5">
        <f t="shared" si="686"/>
        <v>0.49668934240362811</v>
      </c>
    </row>
    <row r="4412" spans="1:38" hidden="1" x14ac:dyDescent="0.2">
      <c r="A4412" s="2">
        <v>2026</v>
      </c>
      <c r="B4412" s="2">
        <v>7</v>
      </c>
      <c r="C4412" s="2" t="s">
        <v>3296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88"/>
        <v>1.84</v>
      </c>
      <c r="V4412" s="2">
        <f t="shared" si="689"/>
        <v>9.84</v>
      </c>
      <c r="W4412" s="2">
        <v>6</v>
      </c>
      <c r="X4412" s="5">
        <f t="shared" si="685"/>
        <v>0.25</v>
      </c>
      <c r="Z4412" s="2" t="s">
        <v>169</v>
      </c>
      <c r="AA4412" s="2" t="s">
        <v>169</v>
      </c>
      <c r="AK4412" s="2">
        <f t="shared" si="687"/>
        <v>2</v>
      </c>
      <c r="AL4412" s="5">
        <f t="shared" si="686"/>
        <v>0.25</v>
      </c>
    </row>
    <row r="4413" spans="1:38" hidden="1" x14ac:dyDescent="0.2">
      <c r="A4413" s="2">
        <v>2026</v>
      </c>
      <c r="B4413" s="2">
        <v>7</v>
      </c>
      <c r="C4413" s="2" t="s">
        <v>3296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88"/>
        <v>13.144500000000001</v>
      </c>
      <c r="V4413" s="2">
        <f t="shared" si="689"/>
        <v>70.294499999999999</v>
      </c>
      <c r="W4413" s="2">
        <f>5.3525*S4413</f>
        <v>21.41</v>
      </c>
      <c r="X4413" s="5">
        <f t="shared" si="685"/>
        <v>0.62537182852143469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87"/>
        <v>35.739999999999995</v>
      </c>
      <c r="AL4413" s="5">
        <f t="shared" si="686"/>
        <v>0.62537182852143469</v>
      </c>
    </row>
    <row r="4414" spans="1:38" hidden="1" x14ac:dyDescent="0.2">
      <c r="A4414" s="2">
        <v>2026</v>
      </c>
      <c r="B4414" s="2">
        <v>7</v>
      </c>
      <c r="C4414" s="2" t="s">
        <v>3296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88"/>
        <v>1.84</v>
      </c>
      <c r="V4414" s="2">
        <f t="shared" si="689"/>
        <v>9.84</v>
      </c>
      <c r="W4414" s="2">
        <v>6</v>
      </c>
      <c r="X4414" s="5">
        <f t="shared" si="685"/>
        <v>0.25</v>
      </c>
      <c r="Z4414" s="2" t="s">
        <v>169</v>
      </c>
      <c r="AA4414" s="2" t="s">
        <v>169</v>
      </c>
      <c r="AK4414" s="2">
        <f t="shared" si="687"/>
        <v>2</v>
      </c>
      <c r="AL4414" s="5">
        <f t="shared" si="686"/>
        <v>0.25</v>
      </c>
    </row>
    <row r="4415" spans="1:38" hidden="1" x14ac:dyDescent="0.2">
      <c r="A4415" s="2">
        <v>2026</v>
      </c>
      <c r="B4415" s="2">
        <v>7</v>
      </c>
      <c r="C4415" s="2" t="s">
        <v>3295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85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87"/>
        <v>233.02659999999997</v>
      </c>
      <c r="AL4415" s="5">
        <f t="shared" si="686"/>
        <v>0.40321601605758584</v>
      </c>
    </row>
    <row r="4416" spans="1:38" hidden="1" x14ac:dyDescent="0.2">
      <c r="A4416" s="2">
        <v>2026</v>
      </c>
      <c r="B4416" s="2">
        <v>7</v>
      </c>
      <c r="C4416" s="2" t="s">
        <v>3295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0">T4416*23%</f>
        <v>3220</v>
      </c>
      <c r="V4416" s="2">
        <f t="shared" ref="V4416:V4447" si="691">T4416+U4416</f>
        <v>17220</v>
      </c>
      <c r="W4416" s="2">
        <f>10699.41+285.74</f>
        <v>10985.15</v>
      </c>
      <c r="X4416" s="5">
        <f t="shared" si="685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87"/>
        <v>3014.8500000000004</v>
      </c>
      <c r="AL4416" s="5">
        <f t="shared" si="686"/>
        <v>0.21534642857142861</v>
      </c>
    </row>
    <row r="4417" spans="1:38" hidden="1" x14ac:dyDescent="0.2">
      <c r="A4417" s="2">
        <v>2026</v>
      </c>
      <c r="B4417" s="2">
        <v>7</v>
      </c>
      <c r="C4417" s="2" t="s">
        <v>3295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0"/>
        <v>48.300000000000004</v>
      </c>
      <c r="V4417" s="2">
        <f t="shared" si="691"/>
        <v>258.3</v>
      </c>
      <c r="W4417" s="2">
        <f>113.905+11.25</f>
        <v>125.155</v>
      </c>
      <c r="X4417" s="5">
        <f t="shared" si="685"/>
        <v>0.40402380952380951</v>
      </c>
      <c r="Z4417" s="2" t="s">
        <v>3227</v>
      </c>
      <c r="AA4417" s="2" t="s">
        <v>75</v>
      </c>
      <c r="AB4417" s="2" t="s">
        <v>76</v>
      </c>
      <c r="AC4417" s="2" t="s">
        <v>77</v>
      </c>
      <c r="AK4417" s="2">
        <f t="shared" si="687"/>
        <v>84.844999999999999</v>
      </c>
      <c r="AL4417" s="5">
        <f t="shared" si="686"/>
        <v>0.40402380952380951</v>
      </c>
    </row>
    <row r="4418" spans="1:38" ht="12" hidden="1" customHeight="1" x14ac:dyDescent="0.2">
      <c r="A4418" s="2">
        <v>2026</v>
      </c>
      <c r="B4418" s="2">
        <v>7</v>
      </c>
      <c r="C4418" s="2" t="s">
        <v>3295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0"/>
        <v>0.34040000000000004</v>
      </c>
      <c r="V4418" s="2">
        <f t="shared" si="691"/>
        <v>1.8204</v>
      </c>
      <c r="W4418" s="2">
        <v>1.48</v>
      </c>
      <c r="X4418" s="5">
        <f t="shared" si="685"/>
        <v>0</v>
      </c>
      <c r="Z4418" s="2" t="s">
        <v>3227</v>
      </c>
      <c r="AA4418" s="2" t="s">
        <v>96</v>
      </c>
      <c r="AB4418" s="2" t="s">
        <v>76</v>
      </c>
      <c r="AC4418" s="2" t="s">
        <v>93</v>
      </c>
      <c r="AK4418" s="2">
        <f t="shared" si="687"/>
        <v>0</v>
      </c>
      <c r="AL4418" s="5">
        <f t="shared" si="686"/>
        <v>0</v>
      </c>
    </row>
    <row r="4419" spans="1:38" hidden="1" x14ac:dyDescent="0.2">
      <c r="A4419" s="2">
        <v>2026</v>
      </c>
      <c r="B4419" s="2">
        <v>7</v>
      </c>
      <c r="C4419" s="2" t="s">
        <v>3295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3361</v>
      </c>
      <c r="R4419" s="15" t="s">
        <v>3362</v>
      </c>
      <c r="S4419" s="13">
        <v>1</v>
      </c>
      <c r="T4419" s="14">
        <v>103.55</v>
      </c>
      <c r="U4419" s="2">
        <f t="shared" si="690"/>
        <v>23.816500000000001</v>
      </c>
      <c r="V4419" s="2">
        <f t="shared" si="691"/>
        <v>127.3665</v>
      </c>
      <c r="W4419" s="2">
        <f>57.53+1</f>
        <v>58.53</v>
      </c>
      <c r="X4419" s="5">
        <f t="shared" si="685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87"/>
        <v>45.019999999999996</v>
      </c>
      <c r="AL4419" s="5">
        <f t="shared" si="686"/>
        <v>0.43476581361661032</v>
      </c>
    </row>
    <row r="4420" spans="1:38" hidden="1" x14ac:dyDescent="0.2">
      <c r="A4420" s="2">
        <v>2026</v>
      </c>
      <c r="B4420" s="2">
        <v>7</v>
      </c>
      <c r="C4420" s="2" t="s">
        <v>3294</v>
      </c>
      <c r="D4420" s="15" t="s">
        <v>3343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3089</v>
      </c>
      <c r="R4420" s="15" t="s">
        <v>3090</v>
      </c>
      <c r="S4420" s="13">
        <v>1</v>
      </c>
      <c r="T4420" s="14">
        <v>2490</v>
      </c>
      <c r="U4420" s="2">
        <f t="shared" si="690"/>
        <v>572.70000000000005</v>
      </c>
      <c r="V4420" s="2">
        <f t="shared" si="691"/>
        <v>3062.7</v>
      </c>
      <c r="W4420" s="2">
        <f>1907.5+49</f>
        <v>1956.5</v>
      </c>
      <c r="X4420" s="5">
        <f t="shared" si="685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687"/>
        <v>533.5</v>
      </c>
      <c r="AL4420" s="5">
        <f t="shared" si="686"/>
        <v>0.21425702811244979</v>
      </c>
    </row>
    <row r="4421" spans="1:38" hidden="1" x14ac:dyDescent="0.2">
      <c r="A4421" s="2">
        <v>2026</v>
      </c>
      <c r="B4421" s="2">
        <v>7</v>
      </c>
      <c r="C4421" s="2" t="s">
        <v>3295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3245</v>
      </c>
      <c r="J4421" s="2" t="s">
        <v>3246</v>
      </c>
      <c r="K4421" s="2">
        <v>96179412</v>
      </c>
      <c r="L4421" s="2" t="s">
        <v>461</v>
      </c>
      <c r="M4421" s="2" t="s">
        <v>40</v>
      </c>
      <c r="O4421" s="2" t="s">
        <v>3376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0"/>
        <v>160.839</v>
      </c>
      <c r="V4421" s="2">
        <f t="shared" si="691"/>
        <v>860.1389999999999</v>
      </c>
      <c r="W4421" s="2">
        <v>343.38580000000002</v>
      </c>
      <c r="X4421" s="5">
        <f t="shared" si="685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87"/>
        <v>355.91419999999994</v>
      </c>
      <c r="AL4421" s="5">
        <f t="shared" si="686"/>
        <v>0.50895781495781489</v>
      </c>
    </row>
    <row r="4422" spans="1:38" hidden="1" x14ac:dyDescent="0.2">
      <c r="A4422" s="2">
        <v>2026</v>
      </c>
      <c r="B4422" s="2">
        <v>7</v>
      </c>
      <c r="C4422" s="2" t="s">
        <v>3295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3245</v>
      </c>
      <c r="J4422" s="2" t="s">
        <v>3246</v>
      </c>
      <c r="K4422" s="2">
        <v>96179412</v>
      </c>
      <c r="L4422" s="2" t="s">
        <v>461</v>
      </c>
      <c r="M4422" s="2" t="s">
        <v>40</v>
      </c>
      <c r="O4422" s="2" t="s">
        <v>3376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0"/>
        <v>56.580000000000005</v>
      </c>
      <c r="V4422" s="2">
        <f t="shared" si="691"/>
        <v>302.58</v>
      </c>
      <c r="W4422" s="2">
        <f>T4422*40%</f>
        <v>98.4</v>
      </c>
      <c r="X4422" s="5">
        <f t="shared" si="685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87"/>
        <v>147.6</v>
      </c>
      <c r="AL4422" s="5">
        <f t="shared" si="686"/>
        <v>0.6</v>
      </c>
    </row>
    <row r="4423" spans="1:38" hidden="1" x14ac:dyDescent="0.2">
      <c r="A4423" s="2">
        <v>2026</v>
      </c>
      <c r="B4423" s="2">
        <v>7</v>
      </c>
      <c r="C4423" s="2" t="s">
        <v>3295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3245</v>
      </c>
      <c r="J4423" s="2" t="s">
        <v>3246</v>
      </c>
      <c r="K4423" s="2">
        <v>96179412</v>
      </c>
      <c r="L4423" s="2" t="s">
        <v>461</v>
      </c>
      <c r="M4423" s="2" t="s">
        <v>40</v>
      </c>
      <c r="O4423" s="2" t="s">
        <v>3376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0"/>
        <v>18.975000000000001</v>
      </c>
      <c r="V4423" s="2">
        <f t="shared" si="691"/>
        <v>101.47499999999999</v>
      </c>
      <c r="W4423" s="2">
        <f>T4423*50%</f>
        <v>41.25</v>
      </c>
      <c r="X4423" s="5">
        <f t="shared" ref="X4423:X4454" si="692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87"/>
        <v>41.25</v>
      </c>
      <c r="AL4423" s="5">
        <f t="shared" ref="AL4423:AL4454" si="693">(T4423-W4423)/T4423</f>
        <v>0.5</v>
      </c>
    </row>
    <row r="4424" spans="1:38" hidden="1" x14ac:dyDescent="0.2">
      <c r="A4424" s="2">
        <v>2026</v>
      </c>
      <c r="B4424" s="2">
        <v>7</v>
      </c>
      <c r="C4424" s="2" t="s">
        <v>3296</v>
      </c>
      <c r="D4424" s="15" t="s">
        <v>3344</v>
      </c>
      <c r="E4424" s="2" t="s">
        <v>38</v>
      </c>
      <c r="F4424" s="2" t="s">
        <v>39</v>
      </c>
      <c r="H4424" s="2" t="s">
        <v>40</v>
      </c>
      <c r="I4424" s="2" t="s">
        <v>3375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0"/>
        <v>52.900000000000006</v>
      </c>
      <c r="V4424" s="2">
        <f t="shared" si="691"/>
        <v>282.89999999999998</v>
      </c>
      <c r="W4424" s="2">
        <v>125.51600000000001</v>
      </c>
      <c r="X4424" s="5">
        <f t="shared" si="692"/>
        <v>0.45427826086956519</v>
      </c>
      <c r="Z4424" s="2" t="s">
        <v>3227</v>
      </c>
      <c r="AA4424" s="2" t="s">
        <v>75</v>
      </c>
      <c r="AB4424" s="2" t="s">
        <v>76</v>
      </c>
      <c r="AC4424" s="2" t="s">
        <v>77</v>
      </c>
      <c r="AK4424" s="2">
        <f t="shared" si="687"/>
        <v>104.48399999999999</v>
      </c>
      <c r="AL4424" s="5">
        <f t="shared" si="693"/>
        <v>0.45427826086956519</v>
      </c>
    </row>
    <row r="4425" spans="1:38" hidden="1" x14ac:dyDescent="0.2">
      <c r="A4425" s="2">
        <v>2026</v>
      </c>
      <c r="B4425" s="2">
        <v>7</v>
      </c>
      <c r="C4425" s="2" t="s">
        <v>3296</v>
      </c>
      <c r="D4425" s="15" t="s">
        <v>3344</v>
      </c>
      <c r="E4425" s="2" t="s">
        <v>38</v>
      </c>
      <c r="F4425" s="2" t="s">
        <v>39</v>
      </c>
      <c r="H4425" s="2" t="s">
        <v>40</v>
      </c>
      <c r="I4425" s="2" t="s">
        <v>3375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0"/>
        <v>0.34040000000000004</v>
      </c>
      <c r="V4425" s="2">
        <f t="shared" si="691"/>
        <v>1.8204</v>
      </c>
      <c r="W4425" s="2">
        <v>1.48</v>
      </c>
      <c r="X4425" s="5">
        <f t="shared" si="692"/>
        <v>0</v>
      </c>
      <c r="Z4425" s="2" t="s">
        <v>3227</v>
      </c>
      <c r="AA4425" s="2" t="s">
        <v>96</v>
      </c>
      <c r="AB4425" s="2" t="s">
        <v>76</v>
      </c>
      <c r="AC4425" s="2" t="s">
        <v>93</v>
      </c>
      <c r="AK4425" s="2">
        <f t="shared" si="687"/>
        <v>0</v>
      </c>
      <c r="AL4425" s="5">
        <f t="shared" si="693"/>
        <v>0</v>
      </c>
    </row>
    <row r="4426" spans="1:38" hidden="1" x14ac:dyDescent="0.2">
      <c r="A4426" s="2">
        <v>2026</v>
      </c>
      <c r="B4426" s="2">
        <v>7</v>
      </c>
      <c r="C4426" s="2" t="s">
        <v>3296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3374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0"/>
        <v>4.83</v>
      </c>
      <c r="V4426" s="2">
        <f t="shared" si="691"/>
        <v>25.83</v>
      </c>
      <c r="W4426" s="2">
        <f>9.3*S4426</f>
        <v>9.3000000000000007</v>
      </c>
      <c r="X4426" s="5">
        <f t="shared" si="692"/>
        <v>0.55714285714285716</v>
      </c>
      <c r="Z4426" s="2" t="s">
        <v>3227</v>
      </c>
      <c r="AA4426" s="2" t="s">
        <v>46</v>
      </c>
      <c r="AB4426" s="2" t="s">
        <v>47</v>
      </c>
      <c r="AC4426" s="2" t="s">
        <v>57</v>
      </c>
      <c r="AK4426" s="2">
        <f t="shared" si="687"/>
        <v>11.7</v>
      </c>
      <c r="AL4426" s="5">
        <f t="shared" si="693"/>
        <v>0.55714285714285716</v>
      </c>
    </row>
    <row r="4427" spans="1:38" hidden="1" x14ac:dyDescent="0.2">
      <c r="A4427" s="2">
        <v>2026</v>
      </c>
      <c r="B4427" s="2">
        <v>7</v>
      </c>
      <c r="C4427" s="2" t="s">
        <v>3296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3374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0"/>
        <v>8.2800000000000011</v>
      </c>
      <c r="V4427" s="2">
        <f t="shared" si="691"/>
        <v>44.28</v>
      </c>
      <c r="W4427" s="2">
        <f>10.6*S4427</f>
        <v>21.2</v>
      </c>
      <c r="X4427" s="5">
        <f t="shared" si="692"/>
        <v>0.41111111111111115</v>
      </c>
      <c r="Z4427" s="2" t="s">
        <v>3227</v>
      </c>
      <c r="AA4427" s="2" t="s">
        <v>46</v>
      </c>
      <c r="AB4427" s="2" t="s">
        <v>56</v>
      </c>
      <c r="AC4427" s="2" t="s">
        <v>57</v>
      </c>
      <c r="AK4427" s="2">
        <f t="shared" si="687"/>
        <v>14.8</v>
      </c>
      <c r="AL4427" s="5">
        <f t="shared" si="693"/>
        <v>0.41111111111111115</v>
      </c>
    </row>
    <row r="4428" spans="1:38" hidden="1" x14ac:dyDescent="0.2">
      <c r="A4428" s="2">
        <v>2026</v>
      </c>
      <c r="B4428" s="2">
        <v>7</v>
      </c>
      <c r="C4428" s="2" t="s">
        <v>3296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3374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0"/>
        <v>3.22</v>
      </c>
      <c r="V4428" s="2">
        <f t="shared" si="691"/>
        <v>17.22</v>
      </c>
      <c r="W4428" s="2">
        <f>0.0914*S4428</f>
        <v>9.1399999999999988</v>
      </c>
      <c r="X4428" s="5">
        <f t="shared" si="692"/>
        <v>0.34714285714285725</v>
      </c>
      <c r="Z4428" s="2" t="s">
        <v>3227</v>
      </c>
      <c r="AA4428" s="2" t="s">
        <v>46</v>
      </c>
      <c r="AB4428" s="2" t="s">
        <v>60</v>
      </c>
      <c r="AC4428" s="2" t="s">
        <v>57</v>
      </c>
      <c r="AK4428" s="2">
        <f t="shared" si="687"/>
        <v>4.8600000000000012</v>
      </c>
      <c r="AL4428" s="5">
        <f t="shared" si="693"/>
        <v>0.34714285714285725</v>
      </c>
    </row>
    <row r="4429" spans="1:38" hidden="1" x14ac:dyDescent="0.2">
      <c r="A4429" s="2">
        <v>2026</v>
      </c>
      <c r="B4429" s="2">
        <v>7</v>
      </c>
      <c r="C4429" s="2" t="s">
        <v>3295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3373</v>
      </c>
      <c r="P4429" s="2" t="s">
        <v>114</v>
      </c>
      <c r="Q4429" s="16" t="s">
        <v>3363</v>
      </c>
      <c r="R4429" s="15" t="s">
        <v>3364</v>
      </c>
      <c r="S4429" s="13">
        <v>12</v>
      </c>
      <c r="T4429" s="14">
        <v>157.75</v>
      </c>
      <c r="U4429" s="2">
        <f t="shared" si="690"/>
        <v>36.282499999999999</v>
      </c>
      <c r="V4429" s="2">
        <f t="shared" si="691"/>
        <v>194.0325</v>
      </c>
      <c r="W4429" s="2">
        <f>6.26*S4429</f>
        <v>75.12</v>
      </c>
      <c r="X4429" s="5">
        <f t="shared" si="692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87"/>
        <v>82.63</v>
      </c>
      <c r="AL4429" s="5">
        <f t="shared" si="693"/>
        <v>0.52380348652931852</v>
      </c>
    </row>
    <row r="4430" spans="1:38" hidden="1" x14ac:dyDescent="0.2">
      <c r="A4430" s="2">
        <v>2026</v>
      </c>
      <c r="B4430" s="2">
        <v>7</v>
      </c>
      <c r="C4430" s="2" t="s">
        <v>3295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3373</v>
      </c>
      <c r="P4430" s="2" t="s">
        <v>114</v>
      </c>
      <c r="Q4430" s="16" t="s">
        <v>3365</v>
      </c>
      <c r="R4430" s="15" t="s">
        <v>3366</v>
      </c>
      <c r="S4430" s="13">
        <v>2</v>
      </c>
      <c r="T4430" s="14">
        <v>571.12</v>
      </c>
      <c r="U4430" s="2">
        <f t="shared" si="690"/>
        <v>131.35760000000002</v>
      </c>
      <c r="V4430" s="2">
        <f t="shared" si="691"/>
        <v>702.47760000000005</v>
      </c>
      <c r="W4430" s="2">
        <f>135.98+1.76*S4430</f>
        <v>139.5</v>
      </c>
      <c r="X4430" s="5">
        <f t="shared" si="692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87"/>
        <v>431.62</v>
      </c>
      <c r="AL4430" s="5">
        <f t="shared" si="693"/>
        <v>0.75574310127468836</v>
      </c>
    </row>
    <row r="4431" spans="1:38" hidden="1" x14ac:dyDescent="0.2">
      <c r="A4431" s="2">
        <v>2026</v>
      </c>
      <c r="B4431" s="2">
        <v>7</v>
      </c>
      <c r="C4431" s="2" t="s">
        <v>3295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3373</v>
      </c>
      <c r="P4431" s="2" t="s">
        <v>114</v>
      </c>
      <c r="Q4431" s="16" t="s">
        <v>3367</v>
      </c>
      <c r="R4431" s="15" t="s">
        <v>3368</v>
      </c>
      <c r="S4431" s="13">
        <v>16</v>
      </c>
      <c r="T4431" s="14">
        <v>117.6</v>
      </c>
      <c r="U4431" s="2">
        <f t="shared" si="690"/>
        <v>27.047999999999998</v>
      </c>
      <c r="V4431" s="2">
        <f t="shared" si="691"/>
        <v>144.648</v>
      </c>
      <c r="W4431" s="2">
        <f>3.5+5*S4431</f>
        <v>83.5</v>
      </c>
      <c r="X4431" s="5">
        <f t="shared" si="692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87"/>
        <v>34.099999999999994</v>
      </c>
      <c r="AL4431" s="5">
        <f t="shared" si="693"/>
        <v>0.28996598639455778</v>
      </c>
    </row>
    <row r="4432" spans="1:38" hidden="1" x14ac:dyDescent="0.2">
      <c r="A4432" s="2">
        <v>2026</v>
      </c>
      <c r="B4432" s="2">
        <v>7</v>
      </c>
      <c r="C4432" s="2" t="s">
        <v>3425</v>
      </c>
      <c r="D4432" s="2" t="s">
        <v>37</v>
      </c>
      <c r="E4432" s="2" t="s">
        <v>38</v>
      </c>
      <c r="F4432" s="2" t="s">
        <v>39</v>
      </c>
      <c r="L4432" s="2" t="s">
        <v>3270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0"/>
        <v>11.040000000000001</v>
      </c>
      <c r="V4432" s="2">
        <f t="shared" si="691"/>
        <v>59.04</v>
      </c>
      <c r="W4432" s="2">
        <f>10.6*S4432</f>
        <v>31.799999999999997</v>
      </c>
      <c r="X4432" s="5">
        <f t="shared" si="692"/>
        <v>0.33750000000000008</v>
      </c>
      <c r="Z4432" s="2" t="s">
        <v>3227</v>
      </c>
      <c r="AA4432" s="2" t="s">
        <v>46</v>
      </c>
      <c r="AB4432" s="2" t="s">
        <v>56</v>
      </c>
      <c r="AC4432" s="2" t="s">
        <v>57</v>
      </c>
      <c r="AK4432" s="2">
        <f t="shared" si="687"/>
        <v>16.200000000000003</v>
      </c>
      <c r="AL4432" s="5">
        <f t="shared" si="693"/>
        <v>0.33750000000000008</v>
      </c>
    </row>
    <row r="4433" spans="1:38" hidden="1" x14ac:dyDescent="0.2">
      <c r="A4433" s="2">
        <v>2026</v>
      </c>
      <c r="B4433" s="2">
        <v>7</v>
      </c>
      <c r="C4433" s="2" t="s">
        <v>3425</v>
      </c>
      <c r="D4433" s="2" t="s">
        <v>37</v>
      </c>
      <c r="E4433" s="2" t="s">
        <v>38</v>
      </c>
      <c r="F4433" s="2" t="s">
        <v>39</v>
      </c>
      <c r="L4433" s="2" t="s">
        <v>3270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0"/>
        <v>16.100000000000001</v>
      </c>
      <c r="V4433" s="2">
        <f t="shared" si="691"/>
        <v>86.1</v>
      </c>
      <c r="W4433" s="2">
        <f>0.082*S4433</f>
        <v>57.400000000000006</v>
      </c>
      <c r="X4433" s="5">
        <f t="shared" si="692"/>
        <v>0.17999999999999991</v>
      </c>
      <c r="Z4433" s="2" t="s">
        <v>3227</v>
      </c>
      <c r="AA4433" s="2" t="s">
        <v>46</v>
      </c>
      <c r="AB4433" s="2" t="s">
        <v>60</v>
      </c>
      <c r="AC4433" s="2" t="s">
        <v>57</v>
      </c>
      <c r="AK4433" s="2">
        <f t="shared" si="687"/>
        <v>12.599999999999994</v>
      </c>
      <c r="AL4433" s="5">
        <f t="shared" si="693"/>
        <v>0.17999999999999991</v>
      </c>
    </row>
    <row r="4434" spans="1:38" hidden="1" x14ac:dyDescent="0.2">
      <c r="A4434" s="2">
        <v>2026</v>
      </c>
      <c r="B4434" s="2">
        <v>7</v>
      </c>
      <c r="C4434" s="2" t="s">
        <v>3425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0"/>
        <v>3.2866999999999997</v>
      </c>
      <c r="V4434" s="2">
        <f t="shared" si="691"/>
        <v>17.576699999999999</v>
      </c>
      <c r="W4434" s="2">
        <v>5.3525</v>
      </c>
      <c r="X4434" s="5">
        <f t="shared" si="692"/>
        <v>0.62543736878936318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87"/>
        <v>8.9375</v>
      </c>
      <c r="AL4434" s="5">
        <f t="shared" si="693"/>
        <v>0.62543736878936318</v>
      </c>
    </row>
    <row r="4435" spans="1:38" hidden="1" x14ac:dyDescent="0.2">
      <c r="A4435" s="2">
        <v>2026</v>
      </c>
      <c r="B4435" s="2">
        <v>7</v>
      </c>
      <c r="C4435" s="2" t="s">
        <v>3425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0"/>
        <v>96.367699999999999</v>
      </c>
      <c r="V4435" s="2">
        <f t="shared" si="691"/>
        <v>515.35770000000002</v>
      </c>
      <c r="W4435" s="2">
        <v>237.8466</v>
      </c>
      <c r="X4435" s="5">
        <f t="shared" si="692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87"/>
        <v>181.14340000000001</v>
      </c>
      <c r="AL4435" s="5">
        <f t="shared" si="693"/>
        <v>0.43233346857920241</v>
      </c>
    </row>
    <row r="4436" spans="1:38" hidden="1" x14ac:dyDescent="0.2">
      <c r="A4436" s="2">
        <v>2026</v>
      </c>
      <c r="B4436" s="2">
        <v>7</v>
      </c>
      <c r="C4436" s="2" t="s">
        <v>3425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0"/>
        <v>22.77</v>
      </c>
      <c r="V4436" s="2">
        <f t="shared" si="691"/>
        <v>121.77</v>
      </c>
      <c r="W4436" s="2">
        <f>T4436*40%</f>
        <v>39.6</v>
      </c>
      <c r="X4436" s="5">
        <f t="shared" si="692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87"/>
        <v>59.4</v>
      </c>
      <c r="AL4436" s="5">
        <f t="shared" si="693"/>
        <v>0.6</v>
      </c>
    </row>
    <row r="4437" spans="1:38" hidden="1" x14ac:dyDescent="0.2">
      <c r="A4437" s="2">
        <v>2026</v>
      </c>
      <c r="B4437" s="2">
        <v>7</v>
      </c>
      <c r="C4437" s="2" t="s">
        <v>3425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0"/>
        <v>11.385</v>
      </c>
      <c r="V4437" s="2">
        <f t="shared" si="691"/>
        <v>60.884999999999998</v>
      </c>
      <c r="W4437" s="2">
        <f>T4437*50%</f>
        <v>24.75</v>
      </c>
      <c r="X4437" s="5">
        <f t="shared" si="692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87"/>
        <v>24.75</v>
      </c>
      <c r="AL4437" s="5">
        <f t="shared" si="693"/>
        <v>0.5</v>
      </c>
    </row>
    <row r="4438" spans="1:38" hidden="1" x14ac:dyDescent="0.2">
      <c r="A4438" s="2">
        <v>2026</v>
      </c>
      <c r="B4438" s="2">
        <v>7</v>
      </c>
      <c r="C4438" s="2" t="s">
        <v>3425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2997</v>
      </c>
      <c r="R4438" s="23" t="s">
        <v>2998</v>
      </c>
      <c r="S4438" s="21">
        <v>1</v>
      </c>
      <c r="T4438" s="22">
        <v>1130.5</v>
      </c>
      <c r="U4438" s="2">
        <f t="shared" si="690"/>
        <v>260.01499999999999</v>
      </c>
      <c r="V4438" s="2">
        <f t="shared" si="691"/>
        <v>1390.5149999999999</v>
      </c>
      <c r="W4438" s="2">
        <v>773.5</v>
      </c>
      <c r="X4438" s="5">
        <f t="shared" si="692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687"/>
        <v>357</v>
      </c>
      <c r="AL4438" s="5">
        <f t="shared" si="693"/>
        <v>0.31578947368421051</v>
      </c>
    </row>
    <row r="4439" spans="1:38" hidden="1" x14ac:dyDescent="0.2">
      <c r="A4439" s="2">
        <v>2026</v>
      </c>
      <c r="B4439" s="2">
        <v>7</v>
      </c>
      <c r="C4439" s="2" t="s">
        <v>3425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0"/>
        <v>13.8</v>
      </c>
      <c r="V4439" s="2">
        <f t="shared" si="691"/>
        <v>73.8</v>
      </c>
      <c r="W4439" s="2">
        <f>T4439*40%</f>
        <v>24</v>
      </c>
      <c r="X4439" s="5">
        <f t="shared" si="692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87"/>
        <v>36</v>
      </c>
      <c r="AL4439" s="5">
        <f t="shared" si="693"/>
        <v>0.6</v>
      </c>
    </row>
    <row r="4440" spans="1:38" hidden="1" x14ac:dyDescent="0.2">
      <c r="A4440" s="2">
        <v>2026</v>
      </c>
      <c r="B4440" s="2">
        <v>7</v>
      </c>
      <c r="C4440" s="2" t="s">
        <v>3425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0"/>
        <v>25.3</v>
      </c>
      <c r="V4440" s="2">
        <f t="shared" si="691"/>
        <v>135.30000000000001</v>
      </c>
      <c r="W4440" s="2">
        <f>T4440*50%</f>
        <v>55</v>
      </c>
      <c r="X4440" s="5">
        <f t="shared" si="692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87"/>
        <v>55</v>
      </c>
      <c r="AL4440" s="5">
        <f t="shared" si="693"/>
        <v>0.5</v>
      </c>
    </row>
    <row r="4441" spans="1:38" hidden="1" x14ac:dyDescent="0.2">
      <c r="A4441" s="2">
        <v>2026</v>
      </c>
      <c r="B4441" s="2">
        <v>7</v>
      </c>
      <c r="C4441" s="2" t="s">
        <v>3425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0"/>
        <v>52.900000000000006</v>
      </c>
      <c r="V4441" s="2">
        <f t="shared" si="691"/>
        <v>282.89999999999998</v>
      </c>
      <c r="W4441" s="2">
        <v>134.57</v>
      </c>
      <c r="X4441" s="5">
        <f t="shared" si="692"/>
        <v>0.41491304347826091</v>
      </c>
      <c r="Z4441" s="2" t="s">
        <v>3227</v>
      </c>
      <c r="AA4441" s="2" t="s">
        <v>75</v>
      </c>
      <c r="AB4441" s="2" t="s">
        <v>76</v>
      </c>
      <c r="AC4441" s="2" t="s">
        <v>77</v>
      </c>
      <c r="AK4441" s="2">
        <f t="shared" si="687"/>
        <v>95.43</v>
      </c>
      <c r="AL4441" s="5">
        <f t="shared" si="693"/>
        <v>0.41491304347826091</v>
      </c>
    </row>
    <row r="4442" spans="1:38" hidden="1" x14ac:dyDescent="0.2">
      <c r="A4442" s="2">
        <v>2026</v>
      </c>
      <c r="B4442" s="2">
        <v>7</v>
      </c>
      <c r="C4442" s="2" t="s">
        <v>3425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0"/>
        <v>0.34040000000000004</v>
      </c>
      <c r="V4442" s="2">
        <f t="shared" si="691"/>
        <v>1.8204</v>
      </c>
      <c r="W4442" s="2">
        <v>1.48</v>
      </c>
      <c r="X4442" s="5">
        <f t="shared" si="692"/>
        <v>0</v>
      </c>
      <c r="Z4442" s="2" t="s">
        <v>3227</v>
      </c>
      <c r="AA4442" s="2" t="s">
        <v>96</v>
      </c>
      <c r="AB4442" s="2" t="s">
        <v>76</v>
      </c>
      <c r="AC4442" s="2" t="s">
        <v>93</v>
      </c>
      <c r="AK4442" s="2">
        <f t="shared" si="687"/>
        <v>0</v>
      </c>
      <c r="AL4442" s="5">
        <f t="shared" si="693"/>
        <v>0</v>
      </c>
    </row>
    <row r="4443" spans="1:38" hidden="1" x14ac:dyDescent="0.2">
      <c r="A4443" s="2">
        <v>2026</v>
      </c>
      <c r="B4443" s="2">
        <v>7</v>
      </c>
      <c r="C4443" s="2" t="s">
        <v>3425</v>
      </c>
      <c r="D4443" s="2" t="s">
        <v>3426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0"/>
        <v>52.900000000000006</v>
      </c>
      <c r="V4443" s="2">
        <f t="shared" si="691"/>
        <v>282.89999999999998</v>
      </c>
      <c r="W4443" s="2">
        <v>133.4614</v>
      </c>
      <c r="X4443" s="5">
        <f t="shared" si="692"/>
        <v>0.4197330434782609</v>
      </c>
      <c r="Z4443" s="2" t="s">
        <v>3227</v>
      </c>
      <c r="AA4443" s="2" t="s">
        <v>75</v>
      </c>
      <c r="AB4443" s="2" t="s">
        <v>76</v>
      </c>
      <c r="AC4443" s="2" t="s">
        <v>77</v>
      </c>
      <c r="AK4443" s="2">
        <f t="shared" si="687"/>
        <v>96.538600000000002</v>
      </c>
      <c r="AL4443" s="5">
        <f t="shared" si="693"/>
        <v>0.4197330434782609</v>
      </c>
    </row>
    <row r="4444" spans="1:38" hidden="1" x14ac:dyDescent="0.2">
      <c r="A4444" s="2">
        <v>2026</v>
      </c>
      <c r="B4444" s="2">
        <v>7</v>
      </c>
      <c r="C4444" s="2" t="s">
        <v>3425</v>
      </c>
      <c r="D4444" s="2" t="s">
        <v>3426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0"/>
        <v>0.34040000000000004</v>
      </c>
      <c r="V4444" s="2">
        <f t="shared" si="691"/>
        <v>1.8204</v>
      </c>
      <c r="W4444" s="2">
        <v>1.48</v>
      </c>
      <c r="X4444" s="5">
        <f t="shared" si="692"/>
        <v>0</v>
      </c>
      <c r="Z4444" s="2" t="s">
        <v>3227</v>
      </c>
      <c r="AA4444" s="2" t="s">
        <v>96</v>
      </c>
      <c r="AB4444" s="2" t="s">
        <v>76</v>
      </c>
      <c r="AC4444" s="2" t="s">
        <v>93</v>
      </c>
      <c r="AK4444" s="2">
        <f t="shared" si="687"/>
        <v>0</v>
      </c>
      <c r="AL4444" s="5">
        <f t="shared" si="693"/>
        <v>0</v>
      </c>
    </row>
    <row r="4445" spans="1:38" hidden="1" x14ac:dyDescent="0.2">
      <c r="A4445" s="2">
        <v>2026</v>
      </c>
      <c r="B4445" s="2">
        <v>7</v>
      </c>
      <c r="C4445" s="2" t="s">
        <v>3425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690"/>
        <v>51.313000000000002</v>
      </c>
      <c r="V4445" s="2">
        <f t="shared" si="691"/>
        <v>274.41300000000001</v>
      </c>
      <c r="W4445" s="2">
        <v>141.16</v>
      </c>
      <c r="X4445" s="5">
        <f t="shared" si="692"/>
        <v>0.36727924697445091</v>
      </c>
      <c r="Z4445" s="2" t="s">
        <v>3227</v>
      </c>
      <c r="AA4445" s="2" t="s">
        <v>75</v>
      </c>
      <c r="AB4445" s="2" t="s">
        <v>76</v>
      </c>
      <c r="AC4445" s="2" t="s">
        <v>1038</v>
      </c>
      <c r="AK4445" s="2">
        <f t="shared" si="687"/>
        <v>81.94</v>
      </c>
      <c r="AL4445" s="5">
        <f t="shared" si="693"/>
        <v>0.36727924697445091</v>
      </c>
    </row>
    <row r="4446" spans="1:38" hidden="1" x14ac:dyDescent="0.2">
      <c r="A4446" s="2">
        <v>2026</v>
      </c>
      <c r="B4446" s="2">
        <v>7</v>
      </c>
      <c r="C4446" s="2" t="s">
        <v>3425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0"/>
        <v>0.34040000000000004</v>
      </c>
      <c r="V4446" s="2">
        <f t="shared" si="691"/>
        <v>1.8204</v>
      </c>
      <c r="W4446" s="2">
        <v>1.48</v>
      </c>
      <c r="X4446" s="5">
        <f t="shared" si="692"/>
        <v>0</v>
      </c>
      <c r="Z4446" s="2" t="s">
        <v>3227</v>
      </c>
      <c r="AA4446" s="2" t="s">
        <v>96</v>
      </c>
      <c r="AB4446" s="2" t="s">
        <v>76</v>
      </c>
      <c r="AC4446" s="2" t="s">
        <v>93</v>
      </c>
      <c r="AK4446" s="2">
        <f t="shared" si="687"/>
        <v>0</v>
      </c>
      <c r="AL4446" s="5">
        <f t="shared" si="693"/>
        <v>0</v>
      </c>
    </row>
    <row r="4447" spans="1:38" hidden="1" x14ac:dyDescent="0.2">
      <c r="A4447" s="2">
        <v>2026</v>
      </c>
      <c r="B4447" s="2">
        <v>7</v>
      </c>
      <c r="C4447" s="2" t="s">
        <v>3425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0"/>
        <v>4.83</v>
      </c>
      <c r="V4447" s="2">
        <f t="shared" si="691"/>
        <v>25.83</v>
      </c>
      <c r="W4447" s="2">
        <f>14.4*S4447</f>
        <v>14.4</v>
      </c>
      <c r="X4447" s="5">
        <f t="shared" si="692"/>
        <v>0.31428571428571428</v>
      </c>
      <c r="Z4447" s="2" t="s">
        <v>3227</v>
      </c>
      <c r="AA4447" s="2" t="s">
        <v>46</v>
      </c>
      <c r="AB4447" s="2" t="s">
        <v>47</v>
      </c>
      <c r="AC4447" s="2" t="s">
        <v>57</v>
      </c>
      <c r="AK4447" s="2">
        <f t="shared" si="687"/>
        <v>6.6</v>
      </c>
      <c r="AL4447" s="5">
        <f t="shared" si="693"/>
        <v>0.31428571428571428</v>
      </c>
    </row>
    <row r="4448" spans="1:38" hidden="1" x14ac:dyDescent="0.2">
      <c r="A4448" s="2">
        <v>2026</v>
      </c>
      <c r="B4448" s="2">
        <v>7</v>
      </c>
      <c r="C4448" s="2" t="s">
        <v>3425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694">T4448*23%</f>
        <v>8.2800000000000011</v>
      </c>
      <c r="V4448" s="2">
        <f t="shared" ref="V4448:V4479" si="695">T4448+U4448</f>
        <v>44.28</v>
      </c>
      <c r="W4448" s="2">
        <f>10.6*S4448</f>
        <v>21.2</v>
      </c>
      <c r="X4448" s="5">
        <f t="shared" si="692"/>
        <v>0.41111111111111115</v>
      </c>
      <c r="Z4448" s="2" t="s">
        <v>3227</v>
      </c>
      <c r="AA4448" s="2" t="s">
        <v>46</v>
      </c>
      <c r="AB4448" s="2" t="s">
        <v>56</v>
      </c>
      <c r="AC4448" s="2" t="s">
        <v>57</v>
      </c>
      <c r="AK4448" s="2">
        <f t="shared" si="687"/>
        <v>14.8</v>
      </c>
      <c r="AL4448" s="5">
        <f t="shared" si="693"/>
        <v>0.41111111111111115</v>
      </c>
    </row>
    <row r="4449" spans="1:38" hidden="1" x14ac:dyDescent="0.2">
      <c r="A4449" s="2">
        <v>2026</v>
      </c>
      <c r="B4449" s="2">
        <v>7</v>
      </c>
      <c r="C4449" s="2" t="s">
        <v>3425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694"/>
        <v>1.84</v>
      </c>
      <c r="V4449" s="2">
        <f t="shared" si="695"/>
        <v>9.84</v>
      </c>
      <c r="W4449" s="2">
        <v>6</v>
      </c>
      <c r="X4449" s="5">
        <f t="shared" si="692"/>
        <v>0.25</v>
      </c>
      <c r="Z4449" s="2" t="s">
        <v>169</v>
      </c>
      <c r="AA4449" s="2" t="s">
        <v>169</v>
      </c>
      <c r="AK4449" s="2">
        <f t="shared" si="687"/>
        <v>2</v>
      </c>
      <c r="AL4449" s="5">
        <f t="shared" si="693"/>
        <v>0.25</v>
      </c>
    </row>
    <row r="4450" spans="1:38" hidden="1" x14ac:dyDescent="0.2">
      <c r="A4450" s="2">
        <v>2026</v>
      </c>
      <c r="B4450" s="2">
        <v>7</v>
      </c>
      <c r="C4450" s="2" t="s">
        <v>3425</v>
      </c>
      <c r="D4450" s="2" t="s">
        <v>433</v>
      </c>
      <c r="E4450" s="2" t="s">
        <v>38</v>
      </c>
      <c r="F4450" s="2" t="s">
        <v>39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694"/>
        <v>92</v>
      </c>
      <c r="V4450" s="2">
        <f t="shared" si="695"/>
        <v>492</v>
      </c>
      <c r="W4450" s="2">
        <f>14.5099*S4450</f>
        <v>290.19799999999998</v>
      </c>
      <c r="X4450" s="5">
        <f t="shared" si="692"/>
        <v>0.27450500000000005</v>
      </c>
      <c r="Z4450" s="2" t="s">
        <v>3227</v>
      </c>
      <c r="AA4450" s="2" t="s">
        <v>46</v>
      </c>
      <c r="AB4450" s="2" t="s">
        <v>60</v>
      </c>
      <c r="AC4450" s="2" t="s">
        <v>3332</v>
      </c>
      <c r="AK4450" s="2">
        <f t="shared" si="687"/>
        <v>109.80200000000002</v>
      </c>
      <c r="AL4450" s="5">
        <f t="shared" si="693"/>
        <v>0.27450500000000005</v>
      </c>
    </row>
    <row r="4451" spans="1:38" hidden="1" x14ac:dyDescent="0.2">
      <c r="A4451" s="2">
        <v>2026</v>
      </c>
      <c r="B4451" s="2">
        <v>7</v>
      </c>
      <c r="C4451" s="2" t="s">
        <v>3425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694"/>
        <v>11.96</v>
      </c>
      <c r="V4451" s="2">
        <f t="shared" si="695"/>
        <v>63.96</v>
      </c>
      <c r="W4451" s="2">
        <f>6.6267*S4451</f>
        <v>26.506799999999998</v>
      </c>
      <c r="X4451" s="5">
        <f t="shared" si="692"/>
        <v>0.49025384615384621</v>
      </c>
      <c r="Z4451" s="2" t="s">
        <v>3227</v>
      </c>
      <c r="AA4451" s="2" t="s">
        <v>46</v>
      </c>
      <c r="AB4451" s="2" t="s">
        <v>47</v>
      </c>
      <c r="AC4451" s="2" t="s">
        <v>57</v>
      </c>
      <c r="AK4451" s="2">
        <f t="shared" si="687"/>
        <v>25.493200000000002</v>
      </c>
      <c r="AL4451" s="5">
        <f t="shared" si="693"/>
        <v>0.49025384615384621</v>
      </c>
    </row>
    <row r="4452" spans="1:38" hidden="1" x14ac:dyDescent="0.2">
      <c r="A4452" s="2">
        <v>2026</v>
      </c>
      <c r="B4452" s="2">
        <v>7</v>
      </c>
      <c r="C4452" s="2" t="s">
        <v>3425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694"/>
        <v>4.83</v>
      </c>
      <c r="V4452" s="2">
        <f t="shared" si="695"/>
        <v>25.83</v>
      </c>
      <c r="W4452" s="2">
        <f>14.4*S4452</f>
        <v>14.4</v>
      </c>
      <c r="X4452" s="5">
        <f t="shared" si="692"/>
        <v>0.31428571428571428</v>
      </c>
      <c r="Z4452" s="2" t="s">
        <v>3227</v>
      </c>
      <c r="AA4452" s="2" t="s">
        <v>46</v>
      </c>
      <c r="AB4452" s="2" t="s">
        <v>47</v>
      </c>
      <c r="AC4452" s="2" t="s">
        <v>57</v>
      </c>
      <c r="AK4452" s="2">
        <f t="shared" si="687"/>
        <v>6.6</v>
      </c>
      <c r="AL4452" s="5">
        <f t="shared" si="693"/>
        <v>0.31428571428571428</v>
      </c>
    </row>
    <row r="4453" spans="1:38" hidden="1" x14ac:dyDescent="0.2">
      <c r="A4453" s="2">
        <v>2026</v>
      </c>
      <c r="B4453" s="2">
        <v>7</v>
      </c>
      <c r="C4453" s="2" t="s">
        <v>3425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3427</v>
      </c>
      <c r="R4453" s="2" t="s">
        <v>3428</v>
      </c>
      <c r="S4453" s="13">
        <v>1</v>
      </c>
      <c r="T4453" s="14">
        <v>287</v>
      </c>
      <c r="U4453" s="2">
        <f t="shared" si="694"/>
        <v>66.010000000000005</v>
      </c>
      <c r="V4453" s="2">
        <f t="shared" si="695"/>
        <v>353.01</v>
      </c>
      <c r="W4453" s="2">
        <v>157.85</v>
      </c>
      <c r="X4453" s="5">
        <f t="shared" si="692"/>
        <v>0.45</v>
      </c>
      <c r="Z4453" s="2" t="s">
        <v>3227</v>
      </c>
      <c r="AA4453" s="2" t="s">
        <v>75</v>
      </c>
      <c r="AB4453" s="2" t="s">
        <v>76</v>
      </c>
      <c r="AC4453" s="2" t="s">
        <v>77</v>
      </c>
      <c r="AK4453" s="2">
        <f t="shared" si="687"/>
        <v>129.15</v>
      </c>
      <c r="AL4453" s="5">
        <f t="shared" si="693"/>
        <v>0.45</v>
      </c>
    </row>
    <row r="4454" spans="1:38" hidden="1" x14ac:dyDescent="0.2">
      <c r="A4454" s="2">
        <v>2026</v>
      </c>
      <c r="B4454" s="2">
        <v>7</v>
      </c>
      <c r="C4454" s="2" t="s">
        <v>3425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694"/>
        <v>0.34040000000000004</v>
      </c>
      <c r="V4454" s="2">
        <f t="shared" si="695"/>
        <v>1.8204</v>
      </c>
      <c r="W4454" s="2">
        <v>1.48</v>
      </c>
      <c r="X4454" s="5">
        <f t="shared" si="692"/>
        <v>0</v>
      </c>
      <c r="Z4454" s="2" t="s">
        <v>3227</v>
      </c>
      <c r="AA4454" s="2" t="s">
        <v>96</v>
      </c>
      <c r="AB4454" s="2" t="s">
        <v>76</v>
      </c>
      <c r="AC4454" s="2" t="s">
        <v>93</v>
      </c>
      <c r="AK4454" s="2">
        <f t="shared" si="687"/>
        <v>0</v>
      </c>
      <c r="AL4454" s="5">
        <f t="shared" si="693"/>
        <v>0</v>
      </c>
    </row>
    <row r="4455" spans="1:38" hidden="1" x14ac:dyDescent="0.2">
      <c r="A4455" s="2">
        <v>2026</v>
      </c>
      <c r="B4455" s="2">
        <v>7</v>
      </c>
      <c r="C4455" s="2" t="s">
        <v>3425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3429</v>
      </c>
      <c r="R4455" s="2" t="s">
        <v>3430</v>
      </c>
      <c r="S4455" s="13">
        <v>1</v>
      </c>
      <c r="T4455" s="14">
        <v>390</v>
      </c>
      <c r="U4455" s="2">
        <f t="shared" si="694"/>
        <v>89.7</v>
      </c>
      <c r="V4455" s="2">
        <f t="shared" si="695"/>
        <v>479.7</v>
      </c>
      <c r="W4455" s="2">
        <v>217</v>
      </c>
      <c r="X4455" s="5">
        <f t="shared" ref="X4455:X4471" si="696">(T4455-W4455)/T4455</f>
        <v>0.44358974358974357</v>
      </c>
      <c r="Z4455" s="2" t="s">
        <v>3227</v>
      </c>
      <c r="AA4455" s="2" t="s">
        <v>75</v>
      </c>
      <c r="AB4455" s="2" t="s">
        <v>76</v>
      </c>
      <c r="AC4455" s="2" t="s">
        <v>1038</v>
      </c>
      <c r="AK4455" s="2">
        <f t="shared" si="687"/>
        <v>173</v>
      </c>
      <c r="AL4455" s="5">
        <f t="shared" ref="AL4455:AL4471" si="697">(T4455-W4455)/T4455</f>
        <v>0.44358974358974357</v>
      </c>
    </row>
    <row r="4456" spans="1:38" hidden="1" x14ac:dyDescent="0.2">
      <c r="A4456" s="2">
        <v>2026</v>
      </c>
      <c r="B4456" s="2">
        <v>7</v>
      </c>
      <c r="C4456" s="2" t="s">
        <v>3425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694"/>
        <v>3.45</v>
      </c>
      <c r="V4456" s="2">
        <f t="shared" si="695"/>
        <v>18.45</v>
      </c>
      <c r="W4456" s="2">
        <v>28</v>
      </c>
      <c r="X4456" s="5">
        <f t="shared" si="696"/>
        <v>-0.8666666666666667</v>
      </c>
      <c r="Z4456" s="2" t="s">
        <v>169</v>
      </c>
      <c r="AA4456" s="2" t="s">
        <v>169</v>
      </c>
      <c r="AK4456" s="2">
        <f t="shared" si="687"/>
        <v>-13</v>
      </c>
      <c r="AL4456" s="5">
        <f t="shared" si="697"/>
        <v>-0.8666666666666667</v>
      </c>
    </row>
    <row r="4457" spans="1:38" hidden="1" x14ac:dyDescent="0.2">
      <c r="A4457" s="2">
        <v>2026</v>
      </c>
      <c r="B4457" s="2">
        <v>7</v>
      </c>
      <c r="C4457" s="2" t="s">
        <v>3425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694"/>
        <v>0.34040000000000004</v>
      </c>
      <c r="V4457" s="2">
        <f t="shared" si="695"/>
        <v>1.8204</v>
      </c>
      <c r="W4457" s="2">
        <v>1.48</v>
      </c>
      <c r="X4457" s="5">
        <f t="shared" si="696"/>
        <v>0</v>
      </c>
      <c r="Z4457" s="2" t="s">
        <v>3227</v>
      </c>
      <c r="AA4457" s="2" t="s">
        <v>96</v>
      </c>
      <c r="AB4457" s="2" t="s">
        <v>76</v>
      </c>
      <c r="AC4457" s="2" t="s">
        <v>93</v>
      </c>
      <c r="AK4457" s="2">
        <f t="shared" si="687"/>
        <v>0</v>
      </c>
      <c r="AL4457" s="5">
        <f t="shared" si="697"/>
        <v>0</v>
      </c>
    </row>
    <row r="4458" spans="1:38" hidden="1" x14ac:dyDescent="0.2">
      <c r="A4458" s="2">
        <v>2026</v>
      </c>
      <c r="B4458" s="2">
        <v>7</v>
      </c>
      <c r="C4458" s="2" t="s">
        <v>3425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3431</v>
      </c>
      <c r="R4458" s="2" t="s">
        <v>3432</v>
      </c>
      <c r="S4458" s="13">
        <v>4</v>
      </c>
      <c r="T4458" s="14">
        <v>569.1</v>
      </c>
      <c r="U4458" s="2">
        <f t="shared" si="694"/>
        <v>130.893</v>
      </c>
      <c r="V4458" s="2">
        <f t="shared" si="695"/>
        <v>699.99300000000005</v>
      </c>
      <c r="W4458" s="2">
        <f>86.81*S4458</f>
        <v>347.24</v>
      </c>
      <c r="X4458" s="5">
        <f t="shared" si="696"/>
        <v>0.38984361272184154</v>
      </c>
      <c r="Z4458" s="2" t="s">
        <v>3227</v>
      </c>
      <c r="AA4458" s="2" t="s">
        <v>1041</v>
      </c>
      <c r="AB4458" s="2" t="s">
        <v>1270</v>
      </c>
      <c r="AC4458" s="2" t="s">
        <v>1038</v>
      </c>
      <c r="AK4458" s="2">
        <f t="shared" si="687"/>
        <v>221.86</v>
      </c>
      <c r="AL4458" s="5">
        <f t="shared" si="697"/>
        <v>0.38984361272184154</v>
      </c>
    </row>
    <row r="4459" spans="1:38" hidden="1" x14ac:dyDescent="0.2">
      <c r="A4459" s="2">
        <v>2026</v>
      </c>
      <c r="B4459" s="2">
        <v>7</v>
      </c>
      <c r="C4459" s="2" t="s">
        <v>3425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694"/>
        <v>111.55000000000001</v>
      </c>
      <c r="V4459" s="2">
        <f t="shared" si="695"/>
        <v>596.54999999999995</v>
      </c>
      <c r="W4459" s="2">
        <f>150.9766*S4459</f>
        <v>301.95319999999998</v>
      </c>
      <c r="X4459" s="5">
        <f t="shared" si="696"/>
        <v>0.37741608247422687</v>
      </c>
      <c r="Z4459" s="2" t="s">
        <v>3227</v>
      </c>
      <c r="AA4459" s="2" t="s">
        <v>75</v>
      </c>
      <c r="AB4459" s="2" t="s">
        <v>76</v>
      </c>
      <c r="AC4459" s="2" t="s">
        <v>77</v>
      </c>
      <c r="AK4459" s="2">
        <f t="shared" si="687"/>
        <v>183.04680000000002</v>
      </c>
      <c r="AL4459" s="5">
        <f t="shared" si="697"/>
        <v>0.37741608247422687</v>
      </c>
    </row>
    <row r="4460" spans="1:38" hidden="1" x14ac:dyDescent="0.2">
      <c r="A4460" s="2">
        <v>2026</v>
      </c>
      <c r="B4460" s="2">
        <v>7</v>
      </c>
      <c r="C4460" s="2" t="s">
        <v>3425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3433</v>
      </c>
      <c r="R4460" s="2" t="s">
        <v>3434</v>
      </c>
      <c r="S4460" s="13">
        <v>1</v>
      </c>
      <c r="T4460" s="14">
        <v>232.8</v>
      </c>
      <c r="U4460" s="2">
        <f t="shared" si="694"/>
        <v>53.544000000000004</v>
      </c>
      <c r="V4460" s="2">
        <f t="shared" si="695"/>
        <v>286.34399999999999</v>
      </c>
      <c r="W4460" s="2">
        <v>128.99</v>
      </c>
      <c r="X4460" s="5">
        <f t="shared" si="696"/>
        <v>0.44591924398625427</v>
      </c>
      <c r="Z4460" s="2" t="s">
        <v>3227</v>
      </c>
      <c r="AA4460" s="2" t="s">
        <v>75</v>
      </c>
      <c r="AB4460" s="2" t="s">
        <v>76</v>
      </c>
      <c r="AC4460" s="2" t="s">
        <v>1038</v>
      </c>
      <c r="AK4460" s="2">
        <f t="shared" si="687"/>
        <v>103.81</v>
      </c>
      <c r="AL4460" s="5">
        <f t="shared" si="697"/>
        <v>0.44591924398625427</v>
      </c>
    </row>
    <row r="4461" spans="1:38" hidden="1" x14ac:dyDescent="0.2">
      <c r="A4461" s="2">
        <v>2026</v>
      </c>
      <c r="B4461" s="2">
        <v>7</v>
      </c>
      <c r="C4461" s="2" t="s">
        <v>3425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694"/>
        <v>1.0212000000000001</v>
      </c>
      <c r="V4461" s="2">
        <f t="shared" si="695"/>
        <v>5.4612000000000007</v>
      </c>
      <c r="W4461" s="2">
        <f>1.48*S4461</f>
        <v>4.4399999999999995</v>
      </c>
      <c r="X4461" s="5">
        <f t="shared" si="696"/>
        <v>2.000401846171453E-16</v>
      </c>
      <c r="Z4461" s="2" t="s">
        <v>3227</v>
      </c>
      <c r="AA4461" s="2" t="s">
        <v>96</v>
      </c>
      <c r="AB4461" s="2" t="s">
        <v>76</v>
      </c>
      <c r="AC4461" s="2" t="s">
        <v>93</v>
      </c>
      <c r="AK4461" s="2">
        <f t="shared" si="687"/>
        <v>0</v>
      </c>
      <c r="AL4461" s="5">
        <f t="shared" si="697"/>
        <v>2.000401846171453E-16</v>
      </c>
    </row>
    <row r="4462" spans="1:38" hidden="1" x14ac:dyDescent="0.2">
      <c r="A4462" s="2">
        <v>2026</v>
      </c>
      <c r="B4462" s="2">
        <v>7</v>
      </c>
      <c r="C4462" s="2" t="s">
        <v>3425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694"/>
        <v>11.96</v>
      </c>
      <c r="V4462" s="2">
        <f t="shared" si="695"/>
        <v>63.96</v>
      </c>
      <c r="W4462" s="2">
        <f>6.6267*S4462</f>
        <v>26.506799999999998</v>
      </c>
      <c r="X4462" s="5">
        <f t="shared" si="696"/>
        <v>0.49025384615384621</v>
      </c>
      <c r="Z4462" s="2" t="s">
        <v>3227</v>
      </c>
      <c r="AA4462" s="2" t="s">
        <v>46</v>
      </c>
      <c r="AB4462" s="2" t="s">
        <v>47</v>
      </c>
      <c r="AC4462" s="2" t="s">
        <v>57</v>
      </c>
      <c r="AK4462" s="2">
        <f t="shared" si="687"/>
        <v>25.493200000000002</v>
      </c>
      <c r="AL4462" s="5">
        <f t="shared" si="697"/>
        <v>0.49025384615384621</v>
      </c>
    </row>
    <row r="4463" spans="1:38" hidden="1" x14ac:dyDescent="0.2">
      <c r="A4463" s="2">
        <v>2026</v>
      </c>
      <c r="B4463" s="2">
        <v>7</v>
      </c>
      <c r="C4463" s="2" t="s">
        <v>3425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694"/>
        <v>4.1400000000000006</v>
      </c>
      <c r="V4463" s="12">
        <f t="shared" si="695"/>
        <v>22.14</v>
      </c>
      <c r="W4463" s="2">
        <f>10.6*S4463</f>
        <v>10.6</v>
      </c>
      <c r="X4463" s="5">
        <f t="shared" si="696"/>
        <v>0.41111111111111115</v>
      </c>
      <c r="Z4463" s="2" t="s">
        <v>3227</v>
      </c>
      <c r="AA4463" s="2" t="s">
        <v>46</v>
      </c>
      <c r="AB4463" s="2" t="s">
        <v>56</v>
      </c>
      <c r="AC4463" s="2" t="s">
        <v>57</v>
      </c>
      <c r="AK4463" s="2">
        <f t="shared" si="687"/>
        <v>7.4</v>
      </c>
      <c r="AL4463" s="5">
        <f t="shared" si="697"/>
        <v>0.41111111111111115</v>
      </c>
    </row>
    <row r="4464" spans="1:38" hidden="1" x14ac:dyDescent="0.2">
      <c r="A4464" s="2">
        <v>2026</v>
      </c>
      <c r="B4464" s="2">
        <v>7</v>
      </c>
      <c r="C4464" s="2" t="s">
        <v>3425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694"/>
        <v>3.22</v>
      </c>
      <c r="V4464" s="12">
        <f t="shared" si="695"/>
        <v>17.22</v>
      </c>
      <c r="W4464" s="2">
        <f>0.0914*S4464</f>
        <v>9.1399999999999988</v>
      </c>
      <c r="X4464" s="5">
        <f t="shared" si="696"/>
        <v>0.34714285714285725</v>
      </c>
      <c r="Z4464" s="2" t="s">
        <v>3227</v>
      </c>
      <c r="AA4464" s="2" t="s">
        <v>46</v>
      </c>
      <c r="AB4464" s="2" t="s">
        <v>60</v>
      </c>
      <c r="AC4464" s="2" t="s">
        <v>57</v>
      </c>
      <c r="AK4464" s="2">
        <f t="shared" si="687"/>
        <v>4.8600000000000012</v>
      </c>
      <c r="AL4464" s="5">
        <f t="shared" si="697"/>
        <v>0.34714285714285725</v>
      </c>
    </row>
    <row r="4465" spans="1:38" hidden="1" x14ac:dyDescent="0.2">
      <c r="A4465" s="2">
        <v>2026</v>
      </c>
      <c r="B4465" s="2">
        <v>7</v>
      </c>
      <c r="C4465" s="2" t="s">
        <v>3425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694"/>
        <v>33.35</v>
      </c>
      <c r="V4465" s="12">
        <f t="shared" si="695"/>
        <v>178.35</v>
      </c>
      <c r="W4465" s="2">
        <f>14.5099*S4465</f>
        <v>72.549499999999995</v>
      </c>
      <c r="X4465" s="5">
        <f t="shared" si="696"/>
        <v>0.49965862068965522</v>
      </c>
      <c r="Z4465" s="2" t="s">
        <v>3227</v>
      </c>
      <c r="AA4465" s="2" t="s">
        <v>46</v>
      </c>
      <c r="AB4465" s="2" t="s">
        <v>60</v>
      </c>
      <c r="AC4465" s="2" t="s">
        <v>3332</v>
      </c>
      <c r="AK4465" s="2">
        <f t="shared" si="687"/>
        <v>72.450500000000005</v>
      </c>
      <c r="AL4465" s="5">
        <f t="shared" si="697"/>
        <v>0.49965862068965522</v>
      </c>
    </row>
    <row r="4466" spans="1:38" hidden="1" x14ac:dyDescent="0.2">
      <c r="A4466" s="2">
        <v>2026</v>
      </c>
      <c r="B4466" s="2">
        <v>7</v>
      </c>
      <c r="C4466" s="2" t="s">
        <v>3425</v>
      </c>
      <c r="D4466" s="24" t="s">
        <v>2049</v>
      </c>
      <c r="E4466" s="2" t="s">
        <v>108</v>
      </c>
      <c r="F4466" s="2" t="s">
        <v>39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694"/>
        <v>5.6097000000000001</v>
      </c>
      <c r="V4466" s="12">
        <f t="shared" si="695"/>
        <v>29.999700000000001</v>
      </c>
      <c r="W4466" s="2">
        <f>11.2466</f>
        <v>11.246600000000001</v>
      </c>
      <c r="X4466" s="5">
        <f t="shared" si="696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87"/>
        <v>13.1434</v>
      </c>
      <c r="AL4466" s="5">
        <f t="shared" si="697"/>
        <v>0.53888478884788849</v>
      </c>
    </row>
    <row r="4467" spans="1:38" hidden="1" x14ac:dyDescent="0.2">
      <c r="A4467" s="2">
        <v>2026</v>
      </c>
      <c r="B4467" s="2">
        <v>7</v>
      </c>
      <c r="C4467" s="2" t="s">
        <v>3425</v>
      </c>
      <c r="D4467" s="24" t="s">
        <v>2049</v>
      </c>
      <c r="E4467" s="2" t="s">
        <v>108</v>
      </c>
      <c r="F4467" s="2" t="s">
        <v>39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694"/>
        <v>1.84</v>
      </c>
      <c r="V4467" s="12">
        <f t="shared" si="695"/>
        <v>9.84</v>
      </c>
      <c r="W4467" s="2">
        <v>6</v>
      </c>
      <c r="X4467" s="5">
        <f t="shared" si="696"/>
        <v>0.25</v>
      </c>
      <c r="Z4467" s="2" t="s">
        <v>169</v>
      </c>
      <c r="AA4467" s="2" t="s">
        <v>169</v>
      </c>
      <c r="AK4467" s="2">
        <f t="shared" si="687"/>
        <v>2</v>
      </c>
      <c r="AL4467" s="5">
        <f t="shared" si="697"/>
        <v>0.25</v>
      </c>
    </row>
    <row r="4468" spans="1:38" hidden="1" x14ac:dyDescent="0.2">
      <c r="A4468" s="2">
        <v>2026</v>
      </c>
      <c r="B4468" s="2">
        <v>7</v>
      </c>
      <c r="C4468" s="2" t="s">
        <v>3425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694"/>
        <v>56.695</v>
      </c>
      <c r="V4468" s="12">
        <f t="shared" si="695"/>
        <v>303.19499999999999</v>
      </c>
      <c r="W4468" s="2">
        <v>133.4614</v>
      </c>
      <c r="X4468" s="5">
        <f t="shared" si="696"/>
        <v>0.4585744421906694</v>
      </c>
      <c r="Z4468" s="2" t="s">
        <v>3227</v>
      </c>
      <c r="AA4468" s="2" t="s">
        <v>75</v>
      </c>
      <c r="AB4468" s="2" t="s">
        <v>76</v>
      </c>
      <c r="AC4468" s="2" t="s">
        <v>77</v>
      </c>
      <c r="AK4468" s="2">
        <f t="shared" si="687"/>
        <v>113.0386</v>
      </c>
      <c r="AL4468" s="5">
        <f t="shared" si="697"/>
        <v>0.4585744421906694</v>
      </c>
    </row>
    <row r="4469" spans="1:38" hidden="1" x14ac:dyDescent="0.2">
      <c r="A4469" s="2">
        <v>2026</v>
      </c>
      <c r="B4469" s="2">
        <v>7</v>
      </c>
      <c r="C4469" s="2" t="s">
        <v>3425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694"/>
        <v>0.34040000000000004</v>
      </c>
      <c r="V4469" s="12">
        <f t="shared" si="695"/>
        <v>1.8204</v>
      </c>
      <c r="W4469" s="2">
        <v>1.48</v>
      </c>
      <c r="X4469" s="5">
        <f t="shared" si="696"/>
        <v>0</v>
      </c>
      <c r="Z4469" s="2" t="s">
        <v>3227</v>
      </c>
      <c r="AA4469" s="2" t="s">
        <v>96</v>
      </c>
      <c r="AB4469" s="2" t="s">
        <v>76</v>
      </c>
      <c r="AC4469" s="2" t="s">
        <v>93</v>
      </c>
      <c r="AK4469" s="2">
        <f t="shared" ref="AK4469:AK4483" si="698">T4469-W4469</f>
        <v>0</v>
      </c>
      <c r="AL4469" s="5">
        <f t="shared" si="697"/>
        <v>0</v>
      </c>
    </row>
    <row r="4470" spans="1:38" hidden="1" x14ac:dyDescent="0.2">
      <c r="A4470" s="2">
        <v>2026</v>
      </c>
      <c r="B4470" s="2">
        <v>7</v>
      </c>
      <c r="C4470" s="2" t="s">
        <v>3425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694"/>
        <v>8.2800000000000011</v>
      </c>
      <c r="V4470" s="12">
        <f t="shared" si="695"/>
        <v>44.28</v>
      </c>
      <c r="W4470" s="2">
        <f>0.8561*S4470</f>
        <v>17.122</v>
      </c>
      <c r="X4470" s="5">
        <f t="shared" si="696"/>
        <v>0.5243888888888889</v>
      </c>
      <c r="Z4470" s="2" t="s">
        <v>3227</v>
      </c>
      <c r="AA4470" s="2" t="s">
        <v>46</v>
      </c>
      <c r="AB4470" s="2" t="s">
        <v>60</v>
      </c>
      <c r="AC4470" s="2" t="s">
        <v>57</v>
      </c>
      <c r="AK4470" s="2">
        <f t="shared" si="698"/>
        <v>18.878</v>
      </c>
      <c r="AL4470" s="5">
        <f t="shared" si="697"/>
        <v>0.5243888888888889</v>
      </c>
    </row>
    <row r="4471" spans="1:38" hidden="1" x14ac:dyDescent="0.2">
      <c r="A4471" s="2">
        <v>2026</v>
      </c>
      <c r="B4471" s="2">
        <v>7</v>
      </c>
      <c r="C4471" s="2" t="s">
        <v>3425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694"/>
        <v>136.85</v>
      </c>
      <c r="V4471" s="12">
        <f t="shared" si="695"/>
        <v>731.85</v>
      </c>
      <c r="W4471" s="2">
        <v>297</v>
      </c>
      <c r="X4471" s="5">
        <f t="shared" si="696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698"/>
        <v>298</v>
      </c>
      <c r="AL4471" s="5">
        <f t="shared" si="697"/>
        <v>0.50084033613445378</v>
      </c>
    </row>
    <row r="4472" spans="1:38" hidden="1" x14ac:dyDescent="0.2">
      <c r="A4472" s="2">
        <v>2026</v>
      </c>
      <c r="B4472" s="2">
        <v>7</v>
      </c>
      <c r="C4472" s="2" t="s">
        <v>3425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694"/>
        <v>0</v>
      </c>
      <c r="V4472" s="12">
        <f t="shared" si="695"/>
        <v>0</v>
      </c>
      <c r="W4472" s="2">
        <f>14.5099</f>
        <v>14.5099</v>
      </c>
      <c r="Z4472" s="2" t="s">
        <v>3227</v>
      </c>
      <c r="AA4472" s="2" t="s">
        <v>46</v>
      </c>
      <c r="AB4472" s="2" t="s">
        <v>60</v>
      </c>
      <c r="AC4472" s="2" t="s">
        <v>3332</v>
      </c>
      <c r="AK4472" s="2">
        <f t="shared" si="698"/>
        <v>-14.5099</v>
      </c>
    </row>
    <row r="4473" spans="1:38" hidden="1" x14ac:dyDescent="0.2">
      <c r="A4473" s="2">
        <v>2026</v>
      </c>
      <c r="B4473" s="2">
        <v>7</v>
      </c>
      <c r="C4473" s="2" t="s">
        <v>3425</v>
      </c>
      <c r="D4473" s="2" t="s">
        <v>433</v>
      </c>
      <c r="E4473" s="2" t="s">
        <v>38</v>
      </c>
      <c r="F4473" s="2" t="s">
        <v>39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694"/>
        <v>52.900000000000006</v>
      </c>
      <c r="V4473" s="12">
        <f t="shared" si="695"/>
        <v>282.89999999999998</v>
      </c>
      <c r="W4473" s="2">
        <v>122.446</v>
      </c>
      <c r="X4473" s="5">
        <f t="shared" ref="X4473:X4483" si="699">(T4473-W4473)/T4473</f>
        <v>0.46762608695652175</v>
      </c>
      <c r="Z4473" s="2" t="s">
        <v>3227</v>
      </c>
      <c r="AA4473" s="2" t="s">
        <v>75</v>
      </c>
      <c r="AB4473" s="2" t="s">
        <v>76</v>
      </c>
      <c r="AC4473" s="2" t="s">
        <v>77</v>
      </c>
      <c r="AK4473" s="2">
        <f t="shared" si="698"/>
        <v>107.554</v>
      </c>
      <c r="AL4473" s="5">
        <f t="shared" ref="AL4473:AL4483" si="700">(T4473-W4473)/T4473</f>
        <v>0.46762608695652175</v>
      </c>
    </row>
    <row r="4474" spans="1:38" hidden="1" x14ac:dyDescent="0.2">
      <c r="A4474" s="2">
        <v>2026</v>
      </c>
      <c r="B4474" s="2">
        <v>7</v>
      </c>
      <c r="C4474" s="2" t="s">
        <v>3425</v>
      </c>
      <c r="D4474" s="2" t="s">
        <v>433</v>
      </c>
      <c r="E4474" s="2" t="s">
        <v>38</v>
      </c>
      <c r="F4474" s="2" t="s">
        <v>39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694"/>
        <v>0.34040000000000004</v>
      </c>
      <c r="V4474" s="12">
        <f t="shared" si="695"/>
        <v>1.8204</v>
      </c>
      <c r="W4474" s="2">
        <v>1.48</v>
      </c>
      <c r="X4474" s="5">
        <f t="shared" si="699"/>
        <v>0</v>
      </c>
      <c r="Z4474" s="2" t="s">
        <v>3227</v>
      </c>
      <c r="AA4474" s="2" t="s">
        <v>96</v>
      </c>
      <c r="AB4474" s="2" t="s">
        <v>76</v>
      </c>
      <c r="AC4474" s="2" t="s">
        <v>93</v>
      </c>
      <c r="AK4474" s="2">
        <f t="shared" si="698"/>
        <v>0</v>
      </c>
      <c r="AL4474" s="5">
        <f t="shared" si="700"/>
        <v>0</v>
      </c>
    </row>
    <row r="4475" spans="1:38" hidden="1" x14ac:dyDescent="0.2">
      <c r="A4475" s="2">
        <v>2026</v>
      </c>
      <c r="B4475" s="2">
        <v>7</v>
      </c>
      <c r="C4475" s="2" t="s">
        <v>3425</v>
      </c>
      <c r="D4475" s="2" t="s">
        <v>3466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694"/>
        <v>3447.7000000000003</v>
      </c>
      <c r="V4475" s="12">
        <f t="shared" si="695"/>
        <v>18437.7</v>
      </c>
      <c r="W4475" s="2">
        <f>10699.41+285.74</f>
        <v>10985.15</v>
      </c>
      <c r="X4475" s="5">
        <f t="shared" si="699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698"/>
        <v>4004.8500000000004</v>
      </c>
      <c r="AL4475" s="5">
        <f t="shared" si="700"/>
        <v>0.26716811207471652</v>
      </c>
    </row>
    <row r="4476" spans="1:38" hidden="1" x14ac:dyDescent="0.2">
      <c r="A4476" s="2">
        <v>2026</v>
      </c>
      <c r="B4476" s="2">
        <v>7</v>
      </c>
      <c r="C4476" s="2" t="s">
        <v>3425</v>
      </c>
      <c r="D4476" s="2" t="s">
        <v>3463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3464</v>
      </c>
      <c r="R4476" s="2" t="s">
        <v>3465</v>
      </c>
      <c r="S4476" s="13">
        <v>1</v>
      </c>
      <c r="T4476" s="14">
        <v>1500</v>
      </c>
      <c r="U4476" s="2">
        <f t="shared" si="694"/>
        <v>345</v>
      </c>
      <c r="V4476" s="12">
        <f t="shared" si="695"/>
        <v>1845</v>
      </c>
      <c r="W4476" s="2">
        <f>T4476*75%</f>
        <v>1125</v>
      </c>
      <c r="X4476" s="5">
        <f t="shared" si="699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698"/>
        <v>375</v>
      </c>
      <c r="AL4476" s="5">
        <f t="shared" si="700"/>
        <v>0.25</v>
      </c>
    </row>
    <row r="4477" spans="1:38" hidden="1" x14ac:dyDescent="0.2">
      <c r="A4477" s="2">
        <v>2026</v>
      </c>
      <c r="B4477" s="2">
        <v>7</v>
      </c>
      <c r="C4477" s="2" t="s">
        <v>3296</v>
      </c>
      <c r="D4477" s="2" t="s">
        <v>37</v>
      </c>
      <c r="E4477" s="2" t="s">
        <v>38</v>
      </c>
      <c r="F4477" s="2" t="s">
        <v>39</v>
      </c>
      <c r="L4477" s="2" t="s">
        <v>3270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694"/>
        <v>4.1400000000000006</v>
      </c>
      <c r="V4477" s="2">
        <f t="shared" si="695"/>
        <v>22.14</v>
      </c>
      <c r="W4477" s="2">
        <f>6.6267*S4477</f>
        <v>13.253399999999999</v>
      </c>
      <c r="X4477" s="5">
        <f t="shared" si="699"/>
        <v>0.26370000000000005</v>
      </c>
      <c r="Z4477" s="2" t="s">
        <v>3227</v>
      </c>
      <c r="AA4477" s="2" t="s">
        <v>46</v>
      </c>
      <c r="AB4477" s="2" t="s">
        <v>47</v>
      </c>
      <c r="AC4477" s="2" t="s">
        <v>57</v>
      </c>
      <c r="AK4477" s="2">
        <f t="shared" si="698"/>
        <v>4.7466000000000008</v>
      </c>
      <c r="AL4477" s="5">
        <f t="shared" si="700"/>
        <v>0.26370000000000005</v>
      </c>
    </row>
    <row r="4478" spans="1:38" hidden="1" x14ac:dyDescent="0.2">
      <c r="A4478" s="2">
        <v>2026</v>
      </c>
      <c r="B4478" s="2">
        <v>7</v>
      </c>
      <c r="C4478" s="2" t="s">
        <v>3296</v>
      </c>
      <c r="D4478" s="2" t="s">
        <v>37</v>
      </c>
      <c r="E4478" s="2" t="s">
        <v>38</v>
      </c>
      <c r="F4478" s="2" t="s">
        <v>39</v>
      </c>
      <c r="L4478" s="2" t="s">
        <v>3270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694"/>
        <v>8.7975000000000012</v>
      </c>
      <c r="V4478" s="2">
        <f t="shared" si="695"/>
        <v>47.047499999999999</v>
      </c>
      <c r="W4478" s="2">
        <f>10.6*S4478</f>
        <v>31.799999999999997</v>
      </c>
      <c r="X4478" s="5">
        <f t="shared" si="699"/>
        <v>0.16862745098039222</v>
      </c>
      <c r="Z4478" s="2" t="s">
        <v>3227</v>
      </c>
      <c r="AA4478" s="2" t="s">
        <v>46</v>
      </c>
      <c r="AB4478" s="2" t="s">
        <v>56</v>
      </c>
      <c r="AC4478" s="2" t="s">
        <v>57</v>
      </c>
      <c r="AK4478" s="2">
        <f t="shared" si="698"/>
        <v>6.4500000000000028</v>
      </c>
      <c r="AL4478" s="5">
        <f t="shared" si="700"/>
        <v>0.16862745098039222</v>
      </c>
    </row>
    <row r="4479" spans="1:38" hidden="1" x14ac:dyDescent="0.2">
      <c r="A4479" s="2">
        <v>2026</v>
      </c>
      <c r="B4479" s="2">
        <v>7</v>
      </c>
      <c r="C4479" s="2" t="s">
        <v>3296</v>
      </c>
      <c r="D4479" s="2" t="s">
        <v>37</v>
      </c>
      <c r="E4479" s="2" t="s">
        <v>38</v>
      </c>
      <c r="F4479" s="2" t="s">
        <v>39</v>
      </c>
      <c r="L4479" s="2" t="s">
        <v>3270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694"/>
        <v>1.3800000000000001</v>
      </c>
      <c r="V4479" s="2">
        <f t="shared" si="695"/>
        <v>7.38</v>
      </c>
      <c r="W4479" s="2">
        <v>2.5051000000000001</v>
      </c>
      <c r="X4479" s="5">
        <f t="shared" si="699"/>
        <v>0.58248333333333335</v>
      </c>
      <c r="Z4479" s="2" t="s">
        <v>3227</v>
      </c>
      <c r="AA4479" s="2" t="s">
        <v>87</v>
      </c>
      <c r="AB4479" s="2" t="s">
        <v>90</v>
      </c>
      <c r="AC4479" s="2" t="s">
        <v>84</v>
      </c>
      <c r="AK4479" s="2">
        <f t="shared" si="698"/>
        <v>3.4948999999999999</v>
      </c>
      <c r="AL4479" s="5">
        <f t="shared" si="700"/>
        <v>0.58248333333333335</v>
      </c>
    </row>
    <row r="4480" spans="1:38" hidden="1" x14ac:dyDescent="0.2">
      <c r="A4480" s="2">
        <v>2026</v>
      </c>
      <c r="B4480" s="2">
        <v>6</v>
      </c>
      <c r="C4480" s="2" t="s">
        <v>3294</v>
      </c>
      <c r="D4480" s="2" t="s">
        <v>3100</v>
      </c>
      <c r="E4480" s="2" t="s">
        <v>38</v>
      </c>
      <c r="F4480" s="2" t="s">
        <v>39</v>
      </c>
      <c r="H4480" s="2" t="s">
        <v>109</v>
      </c>
      <c r="I4480" s="2" t="s">
        <v>3284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1">T4480*23%</f>
        <v>3450</v>
      </c>
      <c r="V4480" s="2">
        <f t="shared" ref="V4480:V4483" si="702">T4480+U4480</f>
        <v>18450</v>
      </c>
      <c r="W4480" s="2">
        <v>10985.15</v>
      </c>
      <c r="X4480" s="5">
        <f t="shared" si="699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698"/>
        <v>4014.8500000000004</v>
      </c>
      <c r="AL4480" s="5">
        <f t="shared" si="700"/>
        <v>0.26765666666666671</v>
      </c>
    </row>
    <row r="4481" spans="1:38" hidden="1" x14ac:dyDescent="0.2">
      <c r="A4481" s="2">
        <v>2026</v>
      </c>
      <c r="B4481" s="2">
        <v>7</v>
      </c>
      <c r="C4481" s="2" t="s">
        <v>3425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1"/>
        <v>1.3800000000000001</v>
      </c>
      <c r="V4481" s="2">
        <f t="shared" si="702"/>
        <v>7.38</v>
      </c>
      <c r="W4481" s="2">
        <v>2.94</v>
      </c>
      <c r="X4481" s="5">
        <f t="shared" si="699"/>
        <v>0.51</v>
      </c>
      <c r="Z4481" s="2" t="s">
        <v>3227</v>
      </c>
      <c r="AA4481" s="2" t="s">
        <v>87</v>
      </c>
      <c r="AB4481" s="2" t="s">
        <v>90</v>
      </c>
      <c r="AC4481" s="2" t="s">
        <v>84</v>
      </c>
      <c r="AK4481" s="2">
        <f t="shared" si="698"/>
        <v>3.06</v>
      </c>
      <c r="AL4481" s="5">
        <f t="shared" si="700"/>
        <v>0.51</v>
      </c>
    </row>
    <row r="4482" spans="1:38" hidden="1" x14ac:dyDescent="0.2">
      <c r="A4482" s="2">
        <v>2026</v>
      </c>
      <c r="B4482" s="2">
        <v>7</v>
      </c>
      <c r="C4482" s="2" t="s">
        <v>3425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1"/>
        <v>1.6560000000000001</v>
      </c>
      <c r="V4482" s="2">
        <f t="shared" si="702"/>
        <v>8.8559999999999999</v>
      </c>
      <c r="W4482" s="2">
        <v>2.5051000000000001</v>
      </c>
      <c r="X4482" s="5">
        <f t="shared" si="699"/>
        <v>0.65206944444444448</v>
      </c>
      <c r="Z4482" s="2" t="s">
        <v>3227</v>
      </c>
      <c r="AA4482" s="2" t="s">
        <v>87</v>
      </c>
      <c r="AB4482" s="2" t="s">
        <v>90</v>
      </c>
      <c r="AC4482" s="2" t="s">
        <v>84</v>
      </c>
      <c r="AK4482" s="2">
        <f t="shared" si="698"/>
        <v>4.6949000000000005</v>
      </c>
      <c r="AL4482" s="5">
        <f t="shared" si="700"/>
        <v>0.65206944444444448</v>
      </c>
    </row>
    <row r="4483" spans="1:38" hidden="1" x14ac:dyDescent="0.2">
      <c r="A4483" s="2">
        <v>2026</v>
      </c>
      <c r="B4483" s="2">
        <v>7</v>
      </c>
      <c r="C4483" s="2" t="s">
        <v>3425</v>
      </c>
      <c r="D4483" s="29" t="s">
        <v>3109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01"/>
        <v>14.628</v>
      </c>
      <c r="V4483" s="2">
        <f t="shared" si="702"/>
        <v>78.228000000000009</v>
      </c>
      <c r="W4483" s="2">
        <v>35.78</v>
      </c>
      <c r="X4483" s="5">
        <f t="shared" si="699"/>
        <v>0.43742138364779876</v>
      </c>
      <c r="Z4483" s="2" t="s">
        <v>3227</v>
      </c>
      <c r="AA4483" s="2" t="s">
        <v>46</v>
      </c>
      <c r="AB4483" s="2" t="s">
        <v>90</v>
      </c>
      <c r="AC4483" s="2" t="s">
        <v>57</v>
      </c>
      <c r="AK4483" s="2">
        <f t="shared" si="698"/>
        <v>27.82</v>
      </c>
      <c r="AL4483" s="5">
        <f t="shared" si="700"/>
        <v>0.43742138364779876</v>
      </c>
    </row>
    <row r="4484" spans="1:38" hidden="1" x14ac:dyDescent="0.2">
      <c r="A4484" s="2">
        <v>2026</v>
      </c>
      <c r="B4484" s="2">
        <v>7</v>
      </c>
      <c r="C4484" s="2" t="s">
        <v>3425</v>
      </c>
      <c r="D4484" s="29" t="s">
        <v>3109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03">T4484*23%</f>
        <v>2.7600000000000002</v>
      </c>
      <c r="V4484" s="2">
        <f t="shared" ref="V4484:V4486" si="704">T4484+U4484</f>
        <v>14.76</v>
      </c>
      <c r="W4484" s="2">
        <v>6.86</v>
      </c>
      <c r="X4484" s="5">
        <f t="shared" ref="X4484:X4541" si="705">(T4484-W4484)/T4484</f>
        <v>0.42833333333333329</v>
      </c>
      <c r="Z4484" s="2" t="s">
        <v>3227</v>
      </c>
      <c r="AA4484" s="2" t="s">
        <v>87</v>
      </c>
      <c r="AB4484" s="2" t="s">
        <v>90</v>
      </c>
      <c r="AC4484" s="2" t="s">
        <v>84</v>
      </c>
      <c r="AK4484" s="2">
        <f t="shared" ref="AK4484" si="706">T4484-W4484</f>
        <v>5.14</v>
      </c>
      <c r="AL4484" s="5">
        <f t="shared" ref="AL4484" si="707">(T4484-W4484)/T4484</f>
        <v>0.42833333333333329</v>
      </c>
    </row>
    <row r="4485" spans="1:38" hidden="1" x14ac:dyDescent="0.2">
      <c r="A4485" s="2">
        <v>2026</v>
      </c>
      <c r="B4485" s="2">
        <v>7</v>
      </c>
      <c r="C4485" s="2" t="s">
        <v>3476</v>
      </c>
      <c r="D4485" s="2" t="s">
        <v>3477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04"/>
        <v>12.3</v>
      </c>
      <c r="W4485" s="2">
        <v>8</v>
      </c>
      <c r="X4485" s="5">
        <f t="shared" si="705"/>
        <v>0.2</v>
      </c>
      <c r="Z4485" s="2" t="s">
        <v>169</v>
      </c>
      <c r="AA4485" s="2" t="s">
        <v>169</v>
      </c>
      <c r="AK4485" s="2">
        <f t="shared" ref="AK4485:AK4486" si="708">T4485-W4485</f>
        <v>2</v>
      </c>
      <c r="AL4485" s="5">
        <f t="shared" ref="AL4485:AL4486" si="709">(T4485-W4485)/T4485</f>
        <v>0.2</v>
      </c>
    </row>
    <row r="4486" spans="1:38" hidden="1" x14ac:dyDescent="0.2">
      <c r="A4486" s="2">
        <v>2026</v>
      </c>
      <c r="B4486" s="2">
        <v>7</v>
      </c>
      <c r="C4486" s="2" t="s">
        <v>3476</v>
      </c>
      <c r="D4486" s="2" t="s">
        <v>3477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04"/>
        <v>163.59</v>
      </c>
      <c r="X4486" s="5">
        <f t="shared" si="705"/>
        <v>1</v>
      </c>
      <c r="Z4486" s="2" t="s">
        <v>117</v>
      </c>
      <c r="AA4486" s="2" t="s">
        <v>1310</v>
      </c>
      <c r="AK4486" s="2">
        <f t="shared" si="708"/>
        <v>133</v>
      </c>
      <c r="AL4486" s="5">
        <f t="shared" si="709"/>
        <v>1</v>
      </c>
    </row>
    <row r="4487" spans="1:38" hidden="1" x14ac:dyDescent="0.2">
      <c r="A4487" s="2">
        <v>2026</v>
      </c>
      <c r="B4487" s="2">
        <v>7</v>
      </c>
      <c r="C4487" s="2" t="s">
        <v>3476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0">T4487*23%</f>
        <v>5.98</v>
      </c>
      <c r="V4487" s="2">
        <f t="shared" ref="V4487:V4493" si="711">T4487+U4487</f>
        <v>31.98</v>
      </c>
      <c r="W4487" s="2">
        <f>6.6267*S4487</f>
        <v>13.253399999999999</v>
      </c>
      <c r="X4487" s="5">
        <f t="shared" si="705"/>
        <v>0.49025384615384621</v>
      </c>
      <c r="Z4487" s="2" t="s">
        <v>3227</v>
      </c>
      <c r="AA4487" s="2" t="s">
        <v>46</v>
      </c>
      <c r="AB4487" s="2" t="s">
        <v>47</v>
      </c>
      <c r="AC4487" s="2" t="s">
        <v>57</v>
      </c>
      <c r="AK4487" s="2">
        <f t="shared" ref="AK4487:AK4516" si="712">T4487-W4487</f>
        <v>12.746600000000001</v>
      </c>
      <c r="AL4487" s="5">
        <f t="shared" ref="AL4487:AL4516" si="713">(T4487-W4487)/T4487</f>
        <v>0.49025384615384621</v>
      </c>
    </row>
    <row r="4488" spans="1:38" hidden="1" x14ac:dyDescent="0.2">
      <c r="A4488" s="2">
        <v>2026</v>
      </c>
      <c r="B4488" s="2">
        <v>7</v>
      </c>
      <c r="C4488" s="2" t="s">
        <v>3476</v>
      </c>
      <c r="D4488" s="33" t="s">
        <v>3478</v>
      </c>
      <c r="E4488" s="2" t="s">
        <v>3377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3089</v>
      </c>
      <c r="R4488" s="33" t="s">
        <v>3090</v>
      </c>
      <c r="S4488" s="32">
        <v>1</v>
      </c>
      <c r="T4488" s="31">
        <v>2490</v>
      </c>
      <c r="U4488" s="2">
        <f t="shared" si="710"/>
        <v>572.70000000000005</v>
      </c>
      <c r="V4488" s="2">
        <f t="shared" si="711"/>
        <v>3062.7</v>
      </c>
      <c r="W4488" s="2">
        <f>1907.5+49</f>
        <v>1956.5</v>
      </c>
      <c r="X4488" s="5">
        <f t="shared" si="705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12"/>
        <v>533.5</v>
      </c>
      <c r="AL4488" s="5">
        <f t="shared" si="713"/>
        <v>0.21425702811244979</v>
      </c>
    </row>
    <row r="4489" spans="1:38" hidden="1" x14ac:dyDescent="0.2">
      <c r="A4489" s="2">
        <v>2026</v>
      </c>
      <c r="B4489" s="2">
        <v>7</v>
      </c>
      <c r="C4489" s="2" t="s">
        <v>3476</v>
      </c>
      <c r="D4489" s="33" t="s">
        <v>3478</v>
      </c>
      <c r="E4489" s="2" t="s">
        <v>3377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10"/>
        <v>0</v>
      </c>
      <c r="V4489" s="2">
        <f t="shared" si="711"/>
        <v>0</v>
      </c>
      <c r="W4489" s="2">
        <v>25.9</v>
      </c>
      <c r="Z4489" s="2" t="s">
        <v>3227</v>
      </c>
      <c r="AA4489" s="2" t="s">
        <v>578</v>
      </c>
      <c r="AB4489" s="2" t="s">
        <v>119</v>
      </c>
      <c r="AC4489" s="2" t="s">
        <v>1327</v>
      </c>
      <c r="AK4489" s="2">
        <f t="shared" si="712"/>
        <v>-25.9</v>
      </c>
    </row>
    <row r="4490" spans="1:38" hidden="1" x14ac:dyDescent="0.2">
      <c r="A4490" s="2">
        <v>2026</v>
      </c>
      <c r="B4490" s="2">
        <v>7</v>
      </c>
      <c r="C4490" s="2" t="s">
        <v>3476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10"/>
        <v>157.07390000000001</v>
      </c>
      <c r="V4490" s="2">
        <f t="shared" si="711"/>
        <v>840.00389999999993</v>
      </c>
      <c r="W4490" s="2">
        <f>119.81*S4490</f>
        <v>479.24</v>
      </c>
      <c r="X4490" s="5">
        <f t="shared" si="705"/>
        <v>0.2982589723690568</v>
      </c>
      <c r="Z4490" s="2" t="s">
        <v>3227</v>
      </c>
      <c r="AA4490" s="2" t="s">
        <v>1041</v>
      </c>
      <c r="AB4490" s="2" t="s">
        <v>1318</v>
      </c>
      <c r="AC4490" s="2" t="s">
        <v>1038</v>
      </c>
      <c r="AK4490" s="2">
        <f t="shared" si="712"/>
        <v>203.68999999999994</v>
      </c>
      <c r="AL4490" s="5">
        <f t="shared" si="713"/>
        <v>0.2982589723690568</v>
      </c>
    </row>
    <row r="4491" spans="1:38" hidden="1" x14ac:dyDescent="0.2">
      <c r="A4491" s="2">
        <v>2026</v>
      </c>
      <c r="B4491" s="2">
        <v>7</v>
      </c>
      <c r="C4491" s="2" t="s">
        <v>3476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0"/>
        <v>6.9</v>
      </c>
      <c r="V4491" s="2">
        <f t="shared" si="711"/>
        <v>36.9</v>
      </c>
      <c r="W4491" s="2">
        <v>43</v>
      </c>
      <c r="X4491" s="18">
        <f t="shared" si="705"/>
        <v>-0.43333333333333335</v>
      </c>
      <c r="Z4491" s="2" t="s">
        <v>169</v>
      </c>
      <c r="AA4491" s="2" t="s">
        <v>169</v>
      </c>
      <c r="AK4491" s="2">
        <f t="shared" si="712"/>
        <v>-13</v>
      </c>
      <c r="AL4491" s="18">
        <f t="shared" si="713"/>
        <v>-0.43333333333333335</v>
      </c>
    </row>
    <row r="4492" spans="1:38" hidden="1" x14ac:dyDescent="0.2">
      <c r="A4492" s="2">
        <v>2026</v>
      </c>
      <c r="B4492" s="2">
        <v>7</v>
      </c>
      <c r="C4492" s="2" t="s">
        <v>3476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0"/>
        <v>33.81</v>
      </c>
      <c r="V4492" s="2">
        <f t="shared" si="711"/>
        <v>180.81</v>
      </c>
      <c r="W4492" s="2">
        <f>T4492*40%</f>
        <v>58.800000000000004</v>
      </c>
      <c r="X4492" s="5">
        <f t="shared" si="705"/>
        <v>0.6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12"/>
        <v>88.199999999999989</v>
      </c>
      <c r="AL4492" s="5">
        <f t="shared" si="713"/>
        <v>0.6</v>
      </c>
    </row>
    <row r="4493" spans="1:38" hidden="1" x14ac:dyDescent="0.2">
      <c r="A4493" s="2">
        <v>2026</v>
      </c>
      <c r="B4493" s="2">
        <v>7</v>
      </c>
      <c r="C4493" s="2" t="s">
        <v>3476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0"/>
        <v>50.6</v>
      </c>
      <c r="V4493" s="2">
        <f t="shared" si="711"/>
        <v>270.60000000000002</v>
      </c>
      <c r="W4493" s="2">
        <f>T4493*50%</f>
        <v>110</v>
      </c>
      <c r="X4493" s="5">
        <f t="shared" si="705"/>
        <v>0.5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12"/>
        <v>110</v>
      </c>
      <c r="AL4493" s="5">
        <f t="shared" si="713"/>
        <v>0.5</v>
      </c>
    </row>
    <row r="4494" spans="1:38" hidden="1" x14ac:dyDescent="0.2">
      <c r="A4494" s="2">
        <v>2026</v>
      </c>
      <c r="B4494" s="2">
        <v>7</v>
      </c>
      <c r="C4494" s="2" t="s">
        <v>3476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0"/>
        <v>68.424999999999997</v>
      </c>
      <c r="V4494" s="2">
        <f t="shared" ref="V4494:V4497" si="714">T4494+U4494</f>
        <v>365.92500000000001</v>
      </c>
      <c r="W4494" s="2">
        <f>T4494*70%</f>
        <v>208.25</v>
      </c>
      <c r="X4494" s="5">
        <f t="shared" si="705"/>
        <v>0.3</v>
      </c>
      <c r="Z4494" s="2" t="s">
        <v>117</v>
      </c>
      <c r="AA4494" s="2" t="s">
        <v>1310</v>
      </c>
      <c r="AK4494" s="2">
        <f t="shared" si="712"/>
        <v>89.25</v>
      </c>
      <c r="AL4494" s="5">
        <f t="shared" si="713"/>
        <v>0.3</v>
      </c>
    </row>
    <row r="4495" spans="1:38" hidden="1" x14ac:dyDescent="0.2">
      <c r="A4495" s="2">
        <v>2026</v>
      </c>
      <c r="B4495" s="2">
        <v>7</v>
      </c>
      <c r="C4495" s="2" t="s">
        <v>3476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0"/>
        <v>46</v>
      </c>
      <c r="V4495" s="2">
        <f t="shared" si="714"/>
        <v>246</v>
      </c>
      <c r="W4495" s="2">
        <f t="shared" ref="W4495:W4498" si="715">14.5099*S4495</f>
        <v>145.09899999999999</v>
      </c>
      <c r="X4495" s="5">
        <f t="shared" si="705"/>
        <v>0.27450500000000005</v>
      </c>
      <c r="Z4495" s="2" t="s">
        <v>3227</v>
      </c>
      <c r="AA4495" s="2" t="s">
        <v>46</v>
      </c>
      <c r="AB4495" s="2" t="s">
        <v>60</v>
      </c>
      <c r="AC4495" s="2" t="s">
        <v>3332</v>
      </c>
      <c r="AK4495" s="2">
        <f t="shared" si="712"/>
        <v>54.90100000000001</v>
      </c>
      <c r="AL4495" s="5">
        <f t="shared" si="713"/>
        <v>0.27450500000000005</v>
      </c>
    </row>
    <row r="4496" spans="1:38" hidden="1" x14ac:dyDescent="0.2">
      <c r="A4496" s="2">
        <v>2026</v>
      </c>
      <c r="B4496" s="2">
        <v>7</v>
      </c>
      <c r="C4496" s="2" t="s">
        <v>3476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0"/>
        <v>46</v>
      </c>
      <c r="V4496" s="2">
        <f t="shared" si="714"/>
        <v>246</v>
      </c>
      <c r="W4496" s="2">
        <f t="shared" si="715"/>
        <v>145.09899999999999</v>
      </c>
      <c r="X4496" s="5">
        <f t="shared" si="705"/>
        <v>0.27450500000000005</v>
      </c>
      <c r="Z4496" s="2" t="s">
        <v>3227</v>
      </c>
      <c r="AA4496" s="2" t="s">
        <v>46</v>
      </c>
      <c r="AB4496" s="2" t="s">
        <v>60</v>
      </c>
      <c r="AC4496" s="2" t="s">
        <v>3332</v>
      </c>
      <c r="AK4496" s="2">
        <f t="shared" si="712"/>
        <v>54.90100000000001</v>
      </c>
      <c r="AL4496" s="5">
        <f t="shared" si="713"/>
        <v>0.27450500000000005</v>
      </c>
    </row>
    <row r="4497" spans="1:38" hidden="1" x14ac:dyDescent="0.2">
      <c r="A4497" s="2">
        <v>2026</v>
      </c>
      <c r="B4497" s="2">
        <v>7</v>
      </c>
      <c r="C4497" s="2" t="s">
        <v>3476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0"/>
        <v>46</v>
      </c>
      <c r="V4497" s="2">
        <f t="shared" si="714"/>
        <v>246</v>
      </c>
      <c r="W4497" s="2">
        <f t="shared" si="715"/>
        <v>145.09899999999999</v>
      </c>
      <c r="X4497" s="5">
        <f t="shared" si="705"/>
        <v>0.27450500000000005</v>
      </c>
      <c r="Z4497" s="2" t="s">
        <v>3227</v>
      </c>
      <c r="AA4497" s="2" t="s">
        <v>46</v>
      </c>
      <c r="AB4497" s="2" t="s">
        <v>60</v>
      </c>
      <c r="AC4497" s="2" t="s">
        <v>3332</v>
      </c>
      <c r="AK4497" s="2">
        <f t="shared" si="712"/>
        <v>54.90100000000001</v>
      </c>
      <c r="AL4497" s="5">
        <f t="shared" si="713"/>
        <v>0.27450500000000005</v>
      </c>
    </row>
    <row r="4498" spans="1:38" hidden="1" x14ac:dyDescent="0.2">
      <c r="A4498" s="2">
        <v>2026</v>
      </c>
      <c r="B4498" s="2">
        <v>7</v>
      </c>
      <c r="C4498" s="2" t="s">
        <v>3476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0"/>
        <v>46</v>
      </c>
      <c r="V4498" s="2">
        <f t="shared" ref="V4498:V4505" si="716">T4498+U4498</f>
        <v>246</v>
      </c>
      <c r="W4498" s="2">
        <f t="shared" si="715"/>
        <v>145.09899999999999</v>
      </c>
      <c r="X4498" s="5">
        <f t="shared" si="705"/>
        <v>0.27450500000000005</v>
      </c>
      <c r="Z4498" s="2" t="s">
        <v>3227</v>
      </c>
      <c r="AA4498" s="2" t="s">
        <v>46</v>
      </c>
      <c r="AB4498" s="2" t="s">
        <v>60</v>
      </c>
      <c r="AC4498" s="2" t="s">
        <v>3332</v>
      </c>
      <c r="AK4498" s="2">
        <f t="shared" si="712"/>
        <v>54.90100000000001</v>
      </c>
      <c r="AL4498" s="5">
        <f t="shared" si="713"/>
        <v>0.27450500000000005</v>
      </c>
    </row>
    <row r="4499" spans="1:38" hidden="1" x14ac:dyDescent="0.2">
      <c r="A4499" s="2">
        <v>2026</v>
      </c>
      <c r="B4499" s="2">
        <v>7</v>
      </c>
      <c r="C4499" s="2" t="s">
        <v>3476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10"/>
        <v>147.7244</v>
      </c>
      <c r="V4499" s="2">
        <f t="shared" si="716"/>
        <v>790.00440000000003</v>
      </c>
      <c r="W4499" s="2">
        <f>112.4*S4499</f>
        <v>449.6</v>
      </c>
      <c r="X4499" s="5">
        <f t="shared" si="705"/>
        <v>0.29999377218658524</v>
      </c>
      <c r="Z4499" s="2" t="s">
        <v>3227</v>
      </c>
      <c r="AA4499" s="2" t="s">
        <v>1041</v>
      </c>
      <c r="AB4499" s="2" t="s">
        <v>1318</v>
      </c>
      <c r="AC4499" s="2" t="s">
        <v>1038</v>
      </c>
      <c r="AK4499" s="2">
        <f t="shared" si="712"/>
        <v>192.67999999999995</v>
      </c>
      <c r="AL4499" s="5">
        <f t="shared" si="713"/>
        <v>0.29999377218658524</v>
      </c>
    </row>
    <row r="4500" spans="1:38" hidden="1" x14ac:dyDescent="0.2">
      <c r="A4500" s="2">
        <v>2026</v>
      </c>
      <c r="B4500" s="2">
        <v>7</v>
      </c>
      <c r="C4500" s="2" t="s">
        <v>3476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0"/>
        <v>21.39</v>
      </c>
      <c r="V4500" s="2">
        <f t="shared" si="716"/>
        <v>114.39</v>
      </c>
      <c r="W4500" s="2">
        <f>T4500*40%</f>
        <v>37.200000000000003</v>
      </c>
      <c r="X4500" s="5">
        <f t="shared" si="705"/>
        <v>0.6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12"/>
        <v>55.8</v>
      </c>
      <c r="AL4500" s="5">
        <f t="shared" si="713"/>
        <v>0.6</v>
      </c>
    </row>
    <row r="4501" spans="1:38" hidden="1" x14ac:dyDescent="0.2">
      <c r="A4501" s="2">
        <v>2026</v>
      </c>
      <c r="B4501" s="2">
        <v>7</v>
      </c>
      <c r="C4501" s="2" t="s">
        <v>3476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0"/>
        <v>11.385</v>
      </c>
      <c r="V4501" s="2">
        <f t="shared" si="716"/>
        <v>60.884999999999998</v>
      </c>
      <c r="W4501" s="2">
        <f>T4501*50%</f>
        <v>24.75</v>
      </c>
      <c r="X4501" s="5">
        <f t="shared" si="705"/>
        <v>0.5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12"/>
        <v>24.75</v>
      </c>
      <c r="AL4501" s="5">
        <f t="shared" si="713"/>
        <v>0.5</v>
      </c>
    </row>
    <row r="4502" spans="1:38" hidden="1" x14ac:dyDescent="0.2">
      <c r="A4502" s="2">
        <v>2026</v>
      </c>
      <c r="B4502" s="2">
        <v>7</v>
      </c>
      <c r="C4502" s="2" t="s">
        <v>3476</v>
      </c>
      <c r="D4502" s="33" t="s">
        <v>3338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3479</v>
      </c>
      <c r="R4502" s="33" t="s">
        <v>3480</v>
      </c>
      <c r="S4502" s="32">
        <v>1</v>
      </c>
      <c r="T4502" s="31">
        <v>163.55000000000001</v>
      </c>
      <c r="U4502" s="2">
        <f t="shared" si="710"/>
        <v>37.616500000000002</v>
      </c>
      <c r="V4502" s="2">
        <f t="shared" si="716"/>
        <v>201.16650000000001</v>
      </c>
      <c r="W4502" s="2">
        <v>70.135000000000005</v>
      </c>
      <c r="X4502" s="5">
        <f t="shared" si="705"/>
        <v>0.57117089575053503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12"/>
        <v>93.415000000000006</v>
      </c>
      <c r="AL4502" s="5">
        <f t="shared" si="713"/>
        <v>0.57117089575053503</v>
      </c>
    </row>
    <row r="4503" spans="1:38" hidden="1" x14ac:dyDescent="0.2">
      <c r="A4503" s="2">
        <v>2026</v>
      </c>
      <c r="B4503" s="2">
        <v>7</v>
      </c>
      <c r="C4503" s="2" t="s">
        <v>3476</v>
      </c>
      <c r="D4503" s="33" t="s">
        <v>3338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10"/>
        <v>606.18110000000001</v>
      </c>
      <c r="V4503" s="2">
        <f t="shared" si="716"/>
        <v>3241.7511000000004</v>
      </c>
      <c r="W4503" s="2">
        <f>543.6775</f>
        <v>543.67750000000001</v>
      </c>
      <c r="X4503" s="5">
        <f t="shared" si="705"/>
        <v>0.79371540122250583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12"/>
        <v>2091.8924999999999</v>
      </c>
      <c r="AL4503" s="5">
        <f t="shared" si="713"/>
        <v>0.79371540122250583</v>
      </c>
    </row>
    <row r="4504" spans="1:38" hidden="1" x14ac:dyDescent="0.2">
      <c r="A4504" s="2">
        <v>2026</v>
      </c>
      <c r="B4504" s="2">
        <v>7</v>
      </c>
      <c r="C4504" s="2" t="s">
        <v>3476</v>
      </c>
      <c r="D4504" s="33" t="s">
        <v>3338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0"/>
        <v>80.5</v>
      </c>
      <c r="V4504" s="2">
        <f t="shared" si="716"/>
        <v>430.5</v>
      </c>
      <c r="W4504" s="2">
        <f>T4504*40%</f>
        <v>140</v>
      </c>
      <c r="X4504" s="5">
        <f t="shared" si="705"/>
        <v>0.6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12"/>
        <v>210</v>
      </c>
      <c r="AL4504" s="5">
        <f t="shared" si="713"/>
        <v>0.6</v>
      </c>
    </row>
    <row r="4505" spans="1:38" hidden="1" x14ac:dyDescent="0.2">
      <c r="A4505" s="2">
        <v>2026</v>
      </c>
      <c r="B4505" s="2">
        <v>7</v>
      </c>
      <c r="C4505" s="2" t="s">
        <v>3476</v>
      </c>
      <c r="D4505" s="33" t="s">
        <v>3338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0"/>
        <v>50.6</v>
      </c>
      <c r="V4505" s="2">
        <f t="shared" si="716"/>
        <v>270.60000000000002</v>
      </c>
      <c r="W4505" s="2">
        <f>T4505*50%</f>
        <v>110</v>
      </c>
      <c r="X4505" s="5">
        <f t="shared" si="705"/>
        <v>0.5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12"/>
        <v>110</v>
      </c>
      <c r="AL4505" s="5">
        <f t="shared" si="713"/>
        <v>0.5</v>
      </c>
    </row>
    <row r="4506" spans="1:38" x14ac:dyDescent="0.2">
      <c r="A4506" s="2">
        <v>2026</v>
      </c>
      <c r="B4506" s="2">
        <v>7</v>
      </c>
      <c r="C4506" s="2" t="s">
        <v>3476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3386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10"/>
        <v>82.8</v>
      </c>
      <c r="V4506" s="2">
        <f t="shared" ref="V4506:V4512" si="717">T4506+U4506</f>
        <v>442.8</v>
      </c>
      <c r="W4506" s="2">
        <f>129.99*4</f>
        <v>519.96</v>
      </c>
      <c r="X4506" s="18">
        <f t="shared" si="705"/>
        <v>-0.44433333333333341</v>
      </c>
      <c r="Z4506" s="2" t="s">
        <v>3227</v>
      </c>
      <c r="AA4506" s="2" t="s">
        <v>2167</v>
      </c>
      <c r="AB4506" s="2" t="s">
        <v>2168</v>
      </c>
      <c r="AC4506" s="2" t="s">
        <v>3386</v>
      </c>
      <c r="AK4506" s="2">
        <f t="shared" si="712"/>
        <v>-159.96000000000004</v>
      </c>
      <c r="AL4506" s="18">
        <f t="shared" si="713"/>
        <v>-0.44433333333333341</v>
      </c>
    </row>
    <row r="4507" spans="1:38" hidden="1" x14ac:dyDescent="0.2">
      <c r="A4507" s="2">
        <v>2026</v>
      </c>
      <c r="B4507" s="2">
        <v>7</v>
      </c>
      <c r="C4507" s="2" t="s">
        <v>3476</v>
      </c>
      <c r="D4507" s="33" t="s">
        <v>3481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10"/>
        <v>115</v>
      </c>
      <c r="V4507" s="2">
        <f t="shared" si="717"/>
        <v>615</v>
      </c>
      <c r="W4507" s="2">
        <v>417</v>
      </c>
      <c r="X4507" s="5">
        <f t="shared" si="705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12"/>
        <v>83</v>
      </c>
      <c r="AL4507" s="5">
        <f t="shared" si="713"/>
        <v>0.16600000000000001</v>
      </c>
    </row>
    <row r="4508" spans="1:38" hidden="1" x14ac:dyDescent="0.2">
      <c r="A4508" s="2">
        <v>2026</v>
      </c>
      <c r="B4508" s="2">
        <v>7</v>
      </c>
      <c r="C4508" s="2" t="s">
        <v>3476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10"/>
        <v>22.551500000000001</v>
      </c>
      <c r="V4508" s="2">
        <f t="shared" si="717"/>
        <v>120.6015</v>
      </c>
      <c r="W4508" s="2">
        <v>47.295000000000002</v>
      </c>
      <c r="X4508" s="5">
        <f t="shared" si="705"/>
        <v>0.5176440591534931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12"/>
        <v>50.754999999999995</v>
      </c>
      <c r="AL4508" s="5">
        <f t="shared" si="713"/>
        <v>0.5176440591534931</v>
      </c>
    </row>
    <row r="4509" spans="1:38" hidden="1" x14ac:dyDescent="0.2">
      <c r="A4509" s="2">
        <v>2026</v>
      </c>
      <c r="B4509" s="2">
        <v>7</v>
      </c>
      <c r="C4509" s="2" t="s">
        <v>3476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10"/>
        <v>81.898399999999995</v>
      </c>
      <c r="V4509" s="2">
        <f t="shared" si="717"/>
        <v>437.97839999999997</v>
      </c>
      <c r="W4509" s="2">
        <v>178.33840000000001</v>
      </c>
      <c r="X4509" s="5">
        <f t="shared" si="705"/>
        <v>0.4991619860705459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12"/>
        <v>177.74159999999998</v>
      </c>
      <c r="AL4509" s="5">
        <f t="shared" si="713"/>
        <v>0.4991619860705459</v>
      </c>
    </row>
    <row r="4510" spans="1:38" hidden="1" x14ac:dyDescent="0.2">
      <c r="A4510" s="2">
        <v>2026</v>
      </c>
      <c r="B4510" s="2">
        <v>7</v>
      </c>
      <c r="C4510" s="2" t="s">
        <v>3476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10"/>
        <v>2.6358000000000001</v>
      </c>
      <c r="V4510" s="2">
        <f t="shared" si="717"/>
        <v>14.095800000000001</v>
      </c>
      <c r="W4510" s="2">
        <v>5.4833999999999996</v>
      </c>
      <c r="X4510" s="5">
        <f t="shared" si="705"/>
        <v>0.52151832460732994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12"/>
        <v>5.9766000000000012</v>
      </c>
      <c r="AL4510" s="5">
        <f t="shared" si="713"/>
        <v>0.52151832460732994</v>
      </c>
    </row>
    <row r="4511" spans="1:38" hidden="1" x14ac:dyDescent="0.2">
      <c r="A4511" s="2">
        <v>2026</v>
      </c>
      <c r="B4511" s="2">
        <v>7</v>
      </c>
      <c r="C4511" s="2" t="s">
        <v>3476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0"/>
        <v>41.4</v>
      </c>
      <c r="V4511" s="2">
        <f t="shared" si="717"/>
        <v>221.4</v>
      </c>
      <c r="W4511" s="2">
        <f>T4511*40%</f>
        <v>72</v>
      </c>
      <c r="X4511" s="5">
        <f t="shared" si="705"/>
        <v>0.6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12"/>
        <v>108</v>
      </c>
      <c r="AL4511" s="5">
        <f t="shared" si="713"/>
        <v>0.6</v>
      </c>
    </row>
    <row r="4512" spans="1:38" hidden="1" x14ac:dyDescent="0.2">
      <c r="A4512" s="2">
        <v>2026</v>
      </c>
      <c r="B4512" s="2">
        <v>7</v>
      </c>
      <c r="C4512" s="2" t="s">
        <v>3476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0"/>
        <v>25.3</v>
      </c>
      <c r="V4512" s="2">
        <f t="shared" si="717"/>
        <v>135.30000000000001</v>
      </c>
      <c r="W4512" s="2">
        <f>T4512*50%</f>
        <v>55</v>
      </c>
      <c r="X4512" s="5">
        <f t="shared" si="705"/>
        <v>0.5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12"/>
        <v>55</v>
      </c>
      <c r="AL4512" s="5">
        <f t="shared" si="713"/>
        <v>0.5</v>
      </c>
    </row>
    <row r="4513" spans="1:38" hidden="1" x14ac:dyDescent="0.2">
      <c r="A4513" s="2">
        <v>2026</v>
      </c>
      <c r="B4513" s="2">
        <v>7</v>
      </c>
      <c r="C4513" s="2" t="s">
        <v>3476</v>
      </c>
      <c r="D4513" s="15" t="s">
        <v>1553</v>
      </c>
      <c r="E4513" s="2" t="s">
        <v>108</v>
      </c>
      <c r="F4513" s="2" t="s">
        <v>717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05"/>
        <v>0.27450500000000005</v>
      </c>
      <c r="Z4513" s="2" t="s">
        <v>3227</v>
      </c>
      <c r="AA4513" s="2" t="s">
        <v>46</v>
      </c>
      <c r="AB4513" s="2" t="s">
        <v>60</v>
      </c>
      <c r="AC4513" s="2" t="s">
        <v>3332</v>
      </c>
      <c r="AK4513" s="2">
        <f t="shared" si="712"/>
        <v>109.80200000000002</v>
      </c>
      <c r="AL4513" s="5">
        <f t="shared" si="713"/>
        <v>0.27450500000000005</v>
      </c>
    </row>
    <row r="4514" spans="1:38" hidden="1" x14ac:dyDescent="0.2">
      <c r="A4514" s="2">
        <v>2026</v>
      </c>
      <c r="B4514" s="2">
        <v>7</v>
      </c>
      <c r="C4514" s="2" t="s">
        <v>3476</v>
      </c>
      <c r="D4514" s="15" t="s">
        <v>1553</v>
      </c>
      <c r="E4514" s="2" t="s">
        <v>108</v>
      </c>
      <c r="F4514" s="2" t="s">
        <v>717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05"/>
        <v>0.27450500000000005</v>
      </c>
      <c r="Z4514" s="2" t="s">
        <v>3227</v>
      </c>
      <c r="AA4514" s="2" t="s">
        <v>46</v>
      </c>
      <c r="AB4514" s="2" t="s">
        <v>60</v>
      </c>
      <c r="AC4514" s="2" t="s">
        <v>3332</v>
      </c>
      <c r="AK4514" s="2">
        <f t="shared" si="712"/>
        <v>109.80200000000002</v>
      </c>
      <c r="AL4514" s="5">
        <f t="shared" si="713"/>
        <v>0.27450500000000005</v>
      </c>
    </row>
    <row r="4515" spans="1:38" hidden="1" x14ac:dyDescent="0.2">
      <c r="A4515" s="2">
        <v>2026</v>
      </c>
      <c r="B4515" s="2">
        <v>7</v>
      </c>
      <c r="C4515" s="2" t="s">
        <v>3476</v>
      </c>
      <c r="D4515" s="2" t="s">
        <v>3483</v>
      </c>
      <c r="E4515" s="2" t="s">
        <v>108</v>
      </c>
      <c r="F4515" s="2" t="s">
        <v>3445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05"/>
        <v>0.51764891270091395</v>
      </c>
      <c r="Y4515" s="2" t="s">
        <v>3301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12"/>
        <v>32.85</v>
      </c>
      <c r="AL4515" s="5">
        <f t="shared" si="713"/>
        <v>0.51764891270091395</v>
      </c>
    </row>
    <row r="4516" spans="1:38" hidden="1" x14ac:dyDescent="0.2">
      <c r="A4516" s="2">
        <v>2026</v>
      </c>
      <c r="B4516" s="2">
        <v>7</v>
      </c>
      <c r="C4516" s="2" t="s">
        <v>3476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05"/>
        <v>0.20122173913043476</v>
      </c>
      <c r="Z4516" s="2" t="s">
        <v>3227</v>
      </c>
      <c r="AA4516" s="2" t="s">
        <v>46</v>
      </c>
      <c r="AB4516" s="2" t="s">
        <v>60</v>
      </c>
      <c r="AC4516" s="2" t="s">
        <v>57</v>
      </c>
      <c r="AK4516" s="2">
        <f t="shared" si="712"/>
        <v>50.909099999999995</v>
      </c>
      <c r="AL4516" s="5">
        <f t="shared" si="713"/>
        <v>0.20122173913043476</v>
      </c>
    </row>
    <row r="4517" spans="1:38" hidden="1" x14ac:dyDescent="0.2">
      <c r="A4517" s="2">
        <v>2026</v>
      </c>
      <c r="B4517" s="2">
        <v>7</v>
      </c>
      <c r="C4517" s="2" t="s">
        <v>3476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18">T4517*23%</f>
        <v>184.37030000000001</v>
      </c>
      <c r="V4517" s="12">
        <f t="shared" ref="V4517:V4520" si="719">T4517+U4517</f>
        <v>985.98030000000006</v>
      </c>
      <c r="W4517" s="2">
        <v>386</v>
      </c>
      <c r="X4517" s="5">
        <f t="shared" si="705"/>
        <v>0.5184690809745387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0">T4517-W4517</f>
        <v>415.61</v>
      </c>
      <c r="AL4517" s="5">
        <f t="shared" ref="AL4517:AL4519" si="721">(T4517-W4517)/T4517</f>
        <v>0.5184690809745387</v>
      </c>
    </row>
    <row r="4518" spans="1:38" hidden="1" x14ac:dyDescent="0.2">
      <c r="A4518" s="2">
        <v>2026</v>
      </c>
      <c r="B4518" s="2">
        <v>7</v>
      </c>
      <c r="C4518" s="2" t="s">
        <v>3476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18"/>
        <v>8.9700000000000006</v>
      </c>
      <c r="V4518" s="12">
        <f t="shared" si="719"/>
        <v>47.97</v>
      </c>
      <c r="W4518" s="2">
        <f>0.0914*S4518</f>
        <v>27.419999999999998</v>
      </c>
      <c r="X4518" s="5">
        <f t="shared" si="705"/>
        <v>0.29692307692307696</v>
      </c>
      <c r="Z4518" s="2" t="s">
        <v>3227</v>
      </c>
      <c r="AA4518" s="2" t="s">
        <v>46</v>
      </c>
      <c r="AB4518" s="2" t="s">
        <v>60</v>
      </c>
      <c r="AC4518" s="2" t="s">
        <v>57</v>
      </c>
      <c r="AK4518" s="2">
        <f t="shared" si="720"/>
        <v>11.580000000000002</v>
      </c>
      <c r="AL4518" s="5">
        <f t="shared" si="721"/>
        <v>0.29692307692307696</v>
      </c>
    </row>
    <row r="4519" spans="1:38" hidden="1" x14ac:dyDescent="0.2">
      <c r="A4519" s="2">
        <v>2026</v>
      </c>
      <c r="B4519" s="2">
        <v>7</v>
      </c>
      <c r="C4519" s="2" t="s">
        <v>3476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3484</v>
      </c>
      <c r="R4519" s="2" t="s">
        <v>3485</v>
      </c>
      <c r="S4519" s="13">
        <v>4</v>
      </c>
      <c r="T4519" s="14">
        <v>28.8</v>
      </c>
      <c r="U4519" s="2">
        <f t="shared" si="718"/>
        <v>6.6240000000000006</v>
      </c>
      <c r="V4519" s="12">
        <f t="shared" si="719"/>
        <v>35.423999999999999</v>
      </c>
      <c r="W4519" s="2">
        <f>3.747*S4519</f>
        <v>14.988</v>
      </c>
      <c r="X4519" s="5">
        <f t="shared" si="705"/>
        <v>0.47958333333333336</v>
      </c>
      <c r="Z4519" s="2" t="s">
        <v>3227</v>
      </c>
      <c r="AA4519" s="2" t="s">
        <v>46</v>
      </c>
      <c r="AB4519" s="2" t="s">
        <v>60</v>
      </c>
      <c r="AC4519" s="2" t="s">
        <v>84</v>
      </c>
      <c r="AK4519" s="2">
        <f t="shared" si="720"/>
        <v>13.812000000000001</v>
      </c>
      <c r="AL4519" s="5">
        <f t="shared" si="721"/>
        <v>0.47958333333333336</v>
      </c>
    </row>
    <row r="4520" spans="1:38" hidden="1" x14ac:dyDescent="0.2">
      <c r="A4520" s="2">
        <v>2026</v>
      </c>
      <c r="B4520" s="2">
        <v>7</v>
      </c>
      <c r="C4520" s="2" t="s">
        <v>3476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19"/>
        <v>1660.5</v>
      </c>
      <c r="W4520" s="2">
        <v>773</v>
      </c>
      <c r="X4520" s="5">
        <f t="shared" si="705"/>
        <v>0.4274074074074074</v>
      </c>
      <c r="Y4520" s="2" t="s">
        <v>3495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22">T4520-W4520</f>
        <v>577</v>
      </c>
      <c r="AL4520" s="5">
        <f t="shared" ref="AL4520:AL4529" si="723">(T4520-W4520)/T4520</f>
        <v>0.4274074074074074</v>
      </c>
    </row>
    <row r="4521" spans="1:38" hidden="1" x14ac:dyDescent="0.2">
      <c r="A4521" s="2">
        <v>2026</v>
      </c>
      <c r="B4521" s="2">
        <v>7</v>
      </c>
      <c r="C4521" s="2" t="s">
        <v>3476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24">T4521*23%</f>
        <v>74.98</v>
      </c>
      <c r="V4521" s="2">
        <f t="shared" ref="V4521:V4525" si="725">T4521+U4521</f>
        <v>400.98</v>
      </c>
      <c r="W4521" s="2">
        <f>T4521*40%</f>
        <v>130.4</v>
      </c>
      <c r="X4521" s="5">
        <f t="shared" si="705"/>
        <v>0.6</v>
      </c>
      <c r="Y4521" s="2" t="s">
        <v>3495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22"/>
        <v>195.6</v>
      </c>
      <c r="AL4521" s="5">
        <f t="shared" si="723"/>
        <v>0.6</v>
      </c>
    </row>
    <row r="4522" spans="1:38" hidden="1" x14ac:dyDescent="0.2">
      <c r="A4522" s="2">
        <v>2026</v>
      </c>
      <c r="B4522" s="2">
        <v>7</v>
      </c>
      <c r="C4522" s="2" t="s">
        <v>3476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24"/>
        <v>25.3</v>
      </c>
      <c r="V4522" s="2">
        <f t="shared" si="725"/>
        <v>135.30000000000001</v>
      </c>
      <c r="W4522" s="2">
        <f>T4522*50%</f>
        <v>55</v>
      </c>
      <c r="X4522" s="5">
        <f t="shared" si="705"/>
        <v>0.5</v>
      </c>
      <c r="Y4522" s="2" t="s">
        <v>3495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22"/>
        <v>55</v>
      </c>
      <c r="AL4522" s="5">
        <f t="shared" si="723"/>
        <v>0.5</v>
      </c>
    </row>
    <row r="4523" spans="1:38" hidden="1" x14ac:dyDescent="0.2">
      <c r="A4523" s="2">
        <v>2026</v>
      </c>
      <c r="B4523" s="2">
        <v>7</v>
      </c>
      <c r="C4523" s="2" t="s">
        <v>3476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24"/>
        <v>13.8</v>
      </c>
      <c r="V4523" s="2">
        <f t="shared" si="725"/>
        <v>73.8</v>
      </c>
      <c r="W4523" s="2">
        <f>T4523*40%</f>
        <v>24</v>
      </c>
      <c r="X4523" s="5">
        <f t="shared" si="705"/>
        <v>0.6</v>
      </c>
      <c r="Y4523" s="2" t="s">
        <v>3495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22"/>
        <v>36</v>
      </c>
      <c r="AL4523" s="5">
        <f t="shared" si="723"/>
        <v>0.6</v>
      </c>
    </row>
    <row r="4524" spans="1:38" hidden="1" x14ac:dyDescent="0.2">
      <c r="A4524" s="2">
        <v>2026</v>
      </c>
      <c r="B4524" s="2">
        <v>7</v>
      </c>
      <c r="C4524" s="2" t="s">
        <v>3476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24"/>
        <v>6.3250000000000002</v>
      </c>
      <c r="V4524" s="2">
        <f t="shared" si="725"/>
        <v>33.825000000000003</v>
      </c>
      <c r="W4524" s="2">
        <f>T4524*50%</f>
        <v>13.75</v>
      </c>
      <c r="X4524" s="5">
        <f t="shared" si="705"/>
        <v>0.5</v>
      </c>
      <c r="Y4524" s="2" t="s">
        <v>3495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22"/>
        <v>13.75</v>
      </c>
      <c r="AL4524" s="5">
        <f t="shared" si="723"/>
        <v>0.5</v>
      </c>
    </row>
    <row r="4525" spans="1:38" hidden="1" x14ac:dyDescent="0.2">
      <c r="A4525" s="2">
        <v>2026</v>
      </c>
      <c r="B4525" s="2">
        <v>7</v>
      </c>
      <c r="C4525" s="2" t="s">
        <v>3476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24"/>
        <v>19.271700000000003</v>
      </c>
      <c r="V4525" s="2">
        <f t="shared" si="725"/>
        <v>103.0617</v>
      </c>
      <c r="W4525" s="2">
        <v>40.357500000000002</v>
      </c>
      <c r="X4525" s="5">
        <f t="shared" si="705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22"/>
        <v>43.432500000000005</v>
      </c>
      <c r="AL4525" s="5">
        <f t="shared" si="723"/>
        <v>0.51834944504117442</v>
      </c>
    </row>
    <row r="4526" spans="1:38" hidden="1" x14ac:dyDescent="0.2">
      <c r="A4526" s="2">
        <v>2026</v>
      </c>
      <c r="B4526" s="2">
        <v>7</v>
      </c>
      <c r="C4526" s="2" t="s">
        <v>3476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05"/>
        <v>0.49668246445497621</v>
      </c>
      <c r="Y4526" s="2" t="s">
        <v>3301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22"/>
        <v>15.719999999999997</v>
      </c>
      <c r="AL4526" s="5">
        <f t="shared" si="723"/>
        <v>0.49668246445497621</v>
      </c>
    </row>
    <row r="4527" spans="1:38" hidden="1" x14ac:dyDescent="0.2">
      <c r="A4527" s="2">
        <v>2026</v>
      </c>
      <c r="B4527" s="2">
        <v>7</v>
      </c>
      <c r="C4527" s="2" t="s">
        <v>3476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05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22"/>
        <v>43.432500000000005</v>
      </c>
      <c r="AL4527" s="5">
        <f t="shared" si="723"/>
        <v>0.51834944504117442</v>
      </c>
    </row>
    <row r="4528" spans="1:38" hidden="1" x14ac:dyDescent="0.2">
      <c r="A4528" s="2">
        <v>2026</v>
      </c>
      <c r="B4528" s="2">
        <v>7</v>
      </c>
      <c r="C4528" s="2" t="s">
        <v>3476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26">T4528*23%</f>
        <v>13.8</v>
      </c>
      <c r="V4528" s="12">
        <f t="shared" ref="V4528:V4529" si="727">T4528+U4528</f>
        <v>73.8</v>
      </c>
      <c r="W4528" s="2">
        <f>T4528*40%</f>
        <v>24</v>
      </c>
      <c r="X4528" s="5">
        <f t="shared" si="705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22"/>
        <v>36</v>
      </c>
      <c r="AL4528" s="5">
        <f t="shared" si="723"/>
        <v>0.6</v>
      </c>
    </row>
    <row r="4529" spans="1:38" hidden="1" x14ac:dyDescent="0.2">
      <c r="A4529" s="2">
        <v>2026</v>
      </c>
      <c r="B4529" s="2">
        <v>7</v>
      </c>
      <c r="C4529" s="2" t="s">
        <v>3476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26"/>
        <v>25.3</v>
      </c>
      <c r="V4529" s="12">
        <f t="shared" si="727"/>
        <v>135.30000000000001</v>
      </c>
      <c r="W4529" s="2">
        <f>T4529*50%</f>
        <v>55</v>
      </c>
      <c r="X4529" s="5">
        <f t="shared" si="705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22"/>
        <v>55</v>
      </c>
      <c r="AL4529" s="5">
        <f t="shared" si="723"/>
        <v>0.5</v>
      </c>
    </row>
    <row r="4530" spans="1:38" hidden="1" x14ac:dyDescent="0.2">
      <c r="A4530" s="2">
        <v>2026</v>
      </c>
      <c r="B4530" s="2">
        <v>7</v>
      </c>
      <c r="C4530" s="2" t="s">
        <v>3476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05"/>
        <v>0.48696666666666666</v>
      </c>
      <c r="Z4530" s="2" t="s">
        <v>3227</v>
      </c>
      <c r="AA4530" s="2" t="s">
        <v>46</v>
      </c>
      <c r="AB4530" s="2" t="s">
        <v>56</v>
      </c>
      <c r="AC4530" s="2" t="s">
        <v>57</v>
      </c>
      <c r="AK4530" s="2">
        <f t="shared" ref="AK4530:AK4541" si="728">T4530-W4530</f>
        <v>8.7653999999999996</v>
      </c>
      <c r="AL4530" s="5">
        <f t="shared" ref="AL4530:AL4541" si="729">(T4530-W4530)/T4530</f>
        <v>0.48696666666666666</v>
      </c>
    </row>
    <row r="4531" spans="1:38" hidden="1" x14ac:dyDescent="0.2">
      <c r="A4531" s="2">
        <v>2026</v>
      </c>
      <c r="B4531" s="2">
        <v>7</v>
      </c>
      <c r="C4531" s="2" t="s">
        <v>3476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730">T4531*23%</f>
        <v>5.2440000000000007</v>
      </c>
      <c r="V4531" s="12">
        <f t="shared" ref="V4531:V4541" si="731">T4531+U4531</f>
        <v>28.044</v>
      </c>
      <c r="W4531" s="2">
        <f>12.2604*S4531</f>
        <v>12.260400000000001</v>
      </c>
      <c r="X4531" s="5">
        <f t="shared" si="705"/>
        <v>0.46226315789473682</v>
      </c>
      <c r="Z4531" s="2" t="s">
        <v>3227</v>
      </c>
      <c r="AA4531" s="2" t="s">
        <v>46</v>
      </c>
      <c r="AB4531" s="2" t="s">
        <v>56</v>
      </c>
      <c r="AC4531" s="2" t="s">
        <v>57</v>
      </c>
      <c r="AK4531" s="2">
        <f t="shared" si="728"/>
        <v>10.5396</v>
      </c>
      <c r="AL4531" s="5">
        <f t="shared" si="729"/>
        <v>0.46226315789473682</v>
      </c>
    </row>
    <row r="4532" spans="1:38" hidden="1" x14ac:dyDescent="0.2">
      <c r="A4532" s="2">
        <v>2026</v>
      </c>
      <c r="B4532" s="2">
        <v>7</v>
      </c>
      <c r="C4532" s="2" t="s">
        <v>3476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730"/>
        <v>5.5200000000000005</v>
      </c>
      <c r="V4532" s="12">
        <f t="shared" si="731"/>
        <v>29.52</v>
      </c>
      <c r="W4532" s="2">
        <f>12.71*S4532</f>
        <v>12.71</v>
      </c>
      <c r="X4532" s="5">
        <f t="shared" si="705"/>
        <v>0.47041666666666665</v>
      </c>
      <c r="Z4532" s="2" t="s">
        <v>3227</v>
      </c>
      <c r="AA4532" s="2" t="s">
        <v>46</v>
      </c>
      <c r="AB4532" s="2" t="s">
        <v>56</v>
      </c>
      <c r="AC4532" s="2" t="s">
        <v>57</v>
      </c>
      <c r="AK4532" s="2">
        <f t="shared" si="728"/>
        <v>11.29</v>
      </c>
      <c r="AL4532" s="5">
        <f t="shared" si="729"/>
        <v>0.47041666666666665</v>
      </c>
    </row>
    <row r="4533" spans="1:38" hidden="1" x14ac:dyDescent="0.2">
      <c r="A4533" s="2">
        <v>2026</v>
      </c>
      <c r="B4533" s="2">
        <v>7</v>
      </c>
      <c r="C4533" s="2" t="s">
        <v>3476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730"/>
        <v>16.560000000000002</v>
      </c>
      <c r="V4533" s="12">
        <f t="shared" si="731"/>
        <v>88.56</v>
      </c>
      <c r="W4533" s="2">
        <f>10.6*S4533</f>
        <v>42.4</v>
      </c>
      <c r="X4533" s="5">
        <f t="shared" si="705"/>
        <v>0.41111111111111115</v>
      </c>
      <c r="Z4533" s="2" t="s">
        <v>3227</v>
      </c>
      <c r="AA4533" s="2" t="s">
        <v>46</v>
      </c>
      <c r="AB4533" s="2" t="s">
        <v>56</v>
      </c>
      <c r="AC4533" s="2" t="s">
        <v>57</v>
      </c>
      <c r="AK4533" s="2">
        <f t="shared" si="728"/>
        <v>29.6</v>
      </c>
      <c r="AL4533" s="5">
        <f t="shared" si="729"/>
        <v>0.41111111111111115</v>
      </c>
    </row>
    <row r="4534" spans="1:38" hidden="1" x14ac:dyDescent="0.2">
      <c r="A4534" s="2">
        <v>2026</v>
      </c>
      <c r="B4534" s="2">
        <v>7</v>
      </c>
      <c r="C4534" s="2" t="s">
        <v>3476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730"/>
        <v>3.68</v>
      </c>
      <c r="V4534" s="12">
        <f t="shared" si="731"/>
        <v>19.68</v>
      </c>
      <c r="W4534" s="2">
        <f>0.0914*S4534</f>
        <v>9.1399999999999988</v>
      </c>
      <c r="X4534" s="5">
        <f t="shared" si="705"/>
        <v>0.42875000000000008</v>
      </c>
      <c r="Z4534" s="2" t="s">
        <v>3227</v>
      </c>
      <c r="AA4534" s="2" t="s">
        <v>46</v>
      </c>
      <c r="AB4534" s="2" t="s">
        <v>60</v>
      </c>
      <c r="AC4534" s="2" t="s">
        <v>57</v>
      </c>
      <c r="AK4534" s="2">
        <f t="shared" si="728"/>
        <v>6.8600000000000012</v>
      </c>
      <c r="AL4534" s="5">
        <f t="shared" si="729"/>
        <v>0.42875000000000008</v>
      </c>
    </row>
    <row r="4535" spans="1:38" hidden="1" x14ac:dyDescent="0.2">
      <c r="A4535" s="2">
        <v>2026</v>
      </c>
      <c r="B4535" s="2">
        <v>7</v>
      </c>
      <c r="C4535" s="2" t="s">
        <v>3476</v>
      </c>
      <c r="D4535" s="2" t="s">
        <v>3496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730"/>
        <v>62.56</v>
      </c>
      <c r="V4535" s="12">
        <f t="shared" si="731"/>
        <v>334.56</v>
      </c>
      <c r="W4535" s="2">
        <v>153.34</v>
      </c>
      <c r="X4535" s="5">
        <f t="shared" si="705"/>
        <v>0.43624999999999997</v>
      </c>
      <c r="Z4535" s="2" t="s">
        <v>3227</v>
      </c>
      <c r="AA4535" s="2" t="s">
        <v>75</v>
      </c>
      <c r="AB4535" s="2" t="s">
        <v>76</v>
      </c>
      <c r="AC4535" s="2" t="s">
        <v>1038</v>
      </c>
      <c r="AK4535" s="2">
        <f t="shared" si="728"/>
        <v>118.66</v>
      </c>
      <c r="AL4535" s="5">
        <f t="shared" si="729"/>
        <v>0.43624999999999997</v>
      </c>
    </row>
    <row r="4536" spans="1:38" hidden="1" x14ac:dyDescent="0.2">
      <c r="A4536" s="2">
        <v>2026</v>
      </c>
      <c r="B4536" s="2">
        <v>7</v>
      </c>
      <c r="C4536" s="2" t="s">
        <v>3476</v>
      </c>
      <c r="D4536" s="2" t="s">
        <v>3496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730"/>
        <v>0.34040000000000004</v>
      </c>
      <c r="V4536" s="12">
        <f t="shared" si="731"/>
        <v>1.8204</v>
      </c>
      <c r="W4536" s="2">
        <v>1.48</v>
      </c>
      <c r="X4536" s="5">
        <f t="shared" si="705"/>
        <v>0</v>
      </c>
      <c r="Z4536" s="2" t="s">
        <v>3227</v>
      </c>
      <c r="AA4536" s="2" t="s">
        <v>96</v>
      </c>
      <c r="AB4536" s="2" t="s">
        <v>76</v>
      </c>
      <c r="AC4536" s="2" t="s">
        <v>93</v>
      </c>
      <c r="AK4536" s="2">
        <f t="shared" si="728"/>
        <v>0</v>
      </c>
      <c r="AL4536" s="5">
        <f t="shared" si="729"/>
        <v>0</v>
      </c>
    </row>
    <row r="4537" spans="1:38" hidden="1" x14ac:dyDescent="0.2">
      <c r="A4537" s="2">
        <v>2026</v>
      </c>
      <c r="B4537" s="2">
        <v>7</v>
      </c>
      <c r="C4537" s="2" t="s">
        <v>3476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3497</v>
      </c>
      <c r="R4537" s="2" t="s">
        <v>3498</v>
      </c>
      <c r="S4537" s="13">
        <v>1</v>
      </c>
      <c r="T4537" s="14">
        <v>378.3</v>
      </c>
      <c r="U4537" s="2">
        <f t="shared" si="730"/>
        <v>87.009</v>
      </c>
      <c r="V4537" s="12">
        <f t="shared" si="731"/>
        <v>465.30900000000003</v>
      </c>
      <c r="W4537" s="2">
        <v>220.9</v>
      </c>
      <c r="X4537" s="5">
        <f t="shared" si="705"/>
        <v>0.4160719006079831</v>
      </c>
      <c r="Z4537" s="2" t="s">
        <v>3227</v>
      </c>
      <c r="AA4537" s="2" t="s">
        <v>75</v>
      </c>
      <c r="AB4537" s="2" t="s">
        <v>76</v>
      </c>
      <c r="AC4537" s="2" t="s">
        <v>1038</v>
      </c>
      <c r="AK4537" s="2">
        <f t="shared" si="728"/>
        <v>157.4</v>
      </c>
      <c r="AL4537" s="5">
        <f t="shared" si="729"/>
        <v>0.4160719006079831</v>
      </c>
    </row>
    <row r="4538" spans="1:38" hidden="1" x14ac:dyDescent="0.2">
      <c r="A4538" s="2">
        <v>2026</v>
      </c>
      <c r="B4538" s="2">
        <v>7</v>
      </c>
      <c r="C4538" s="2" t="s">
        <v>3476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730"/>
        <v>4.0250000000000004</v>
      </c>
      <c r="V4538" s="12">
        <f t="shared" si="731"/>
        <v>21.524999999999999</v>
      </c>
      <c r="W4538" s="2">
        <v>23</v>
      </c>
      <c r="X4538" s="18">
        <f t="shared" si="705"/>
        <v>-0.31428571428571428</v>
      </c>
      <c r="Z4538" s="2" t="s">
        <v>169</v>
      </c>
      <c r="AA4538" s="2" t="s">
        <v>169</v>
      </c>
      <c r="AK4538" s="2">
        <f t="shared" si="728"/>
        <v>-5.5</v>
      </c>
      <c r="AL4538" s="18">
        <f t="shared" si="729"/>
        <v>-0.31428571428571428</v>
      </c>
    </row>
    <row r="4539" spans="1:38" hidden="1" x14ac:dyDescent="0.2">
      <c r="A4539" s="2">
        <v>2026</v>
      </c>
      <c r="B4539" s="2">
        <v>7</v>
      </c>
      <c r="C4539" s="2" t="s">
        <v>3476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730"/>
        <v>0.34040000000000004</v>
      </c>
      <c r="V4539" s="12">
        <f t="shared" si="731"/>
        <v>1.8204</v>
      </c>
      <c r="W4539" s="2">
        <v>1.48</v>
      </c>
      <c r="X4539" s="5">
        <f t="shared" si="705"/>
        <v>0</v>
      </c>
      <c r="Z4539" s="2" t="s">
        <v>3227</v>
      </c>
      <c r="AA4539" s="2" t="s">
        <v>96</v>
      </c>
      <c r="AB4539" s="2" t="s">
        <v>76</v>
      </c>
      <c r="AC4539" s="2" t="s">
        <v>93</v>
      </c>
      <c r="AK4539" s="2">
        <f t="shared" si="728"/>
        <v>0</v>
      </c>
      <c r="AL4539" s="5">
        <f t="shared" si="729"/>
        <v>0</v>
      </c>
    </row>
    <row r="4540" spans="1:38" hidden="1" x14ac:dyDescent="0.2">
      <c r="A4540" s="2">
        <v>2026</v>
      </c>
      <c r="B4540" s="2">
        <v>7</v>
      </c>
      <c r="C4540" s="2" t="s">
        <v>3476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730"/>
        <v>52.900000000000006</v>
      </c>
      <c r="V4540" s="12">
        <f t="shared" si="731"/>
        <v>282.89999999999998</v>
      </c>
      <c r="W4540" s="2">
        <v>133.4614</v>
      </c>
      <c r="X4540" s="5">
        <f t="shared" si="705"/>
        <v>0.4197330434782609</v>
      </c>
      <c r="Z4540" s="2" t="s">
        <v>3227</v>
      </c>
      <c r="AA4540" s="2" t="s">
        <v>75</v>
      </c>
      <c r="AB4540" s="2" t="s">
        <v>76</v>
      </c>
      <c r="AC4540" s="2" t="s">
        <v>77</v>
      </c>
      <c r="AK4540" s="2">
        <f t="shared" si="728"/>
        <v>96.538600000000002</v>
      </c>
      <c r="AL4540" s="5">
        <f t="shared" si="729"/>
        <v>0.4197330434782609</v>
      </c>
    </row>
    <row r="4541" spans="1:38" hidden="1" x14ac:dyDescent="0.2">
      <c r="A4541" s="2">
        <v>2026</v>
      </c>
      <c r="B4541" s="2">
        <v>7</v>
      </c>
      <c r="C4541" s="2" t="s">
        <v>3476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730"/>
        <v>0.34040000000000004</v>
      </c>
      <c r="V4541" s="12">
        <f t="shared" si="731"/>
        <v>1.8204</v>
      </c>
      <c r="W4541" s="2">
        <v>1.48</v>
      </c>
      <c r="X4541" s="5">
        <f t="shared" si="705"/>
        <v>0</v>
      </c>
      <c r="Z4541" s="2" t="s">
        <v>3227</v>
      </c>
      <c r="AA4541" s="2" t="s">
        <v>96</v>
      </c>
      <c r="AB4541" s="2" t="s">
        <v>76</v>
      </c>
      <c r="AC4541" s="2" t="s">
        <v>93</v>
      </c>
      <c r="AK4541" s="2">
        <f t="shared" si="728"/>
        <v>0</v>
      </c>
      <c r="AL4541" s="5">
        <f t="shared" si="729"/>
        <v>0</v>
      </c>
    </row>
  </sheetData>
  <autoFilter ref="A1:AL4541" xr:uid="{00000000-0001-0000-0000-000000000000}">
    <filterColumn colId="3">
      <filters>
        <filter val="PNEUS DO OCEANO - COM. DE PNEUS E ACESSÓRIOS, LDA."/>
      </filters>
    </filterColumn>
  </autoFilter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2026-07-30T16:57:41Z</dcterms:modified>
</cp:coreProperties>
</file>